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030"/>
  </bookViews>
  <sheets>
    <sheet name="Лист1" sheetId="1" r:id="rId1"/>
  </sheets>
  <definedNames>
    <definedName name="_xlnm._FilterDatabase" localSheetId="0" hidden="1">Лист1!$C$1:$C$105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" i="1"/>
</calcChain>
</file>

<file path=xl/sharedStrings.xml><?xml version="1.0" encoding="utf-8"?>
<sst xmlns="http://schemas.openxmlformats.org/spreadsheetml/2006/main" count="321" uniqueCount="215">
  <si>
    <t>361973524</t>
  </si>
  <si>
    <t>361972064</t>
  </si>
  <si>
    <t>361973207</t>
  </si>
  <si>
    <t>361973476</t>
  </si>
  <si>
    <t>622709662</t>
  </si>
  <si>
    <t>679919480</t>
  </si>
  <si>
    <t>679919468</t>
  </si>
  <si>
    <t>622710609</t>
  </si>
  <si>
    <t>361972047</t>
  </si>
  <si>
    <t>361973170</t>
  </si>
  <si>
    <t>1341268808</t>
  </si>
  <si>
    <t>361973585</t>
  </si>
  <si>
    <t>622111151</t>
  </si>
  <si>
    <t>361971869</t>
  </si>
  <si>
    <t>361972438</t>
  </si>
  <si>
    <t>361973595</t>
  </si>
  <si>
    <t>361973403</t>
  </si>
  <si>
    <t>361973142</t>
  </si>
  <si>
    <t>361972542</t>
  </si>
  <si>
    <t>1323369985</t>
  </si>
  <si>
    <t>361971913</t>
  </si>
  <si>
    <t>361972647</t>
  </si>
  <si>
    <t>679920732</t>
  </si>
  <si>
    <t>679920914</t>
  </si>
  <si>
    <t>361972616</t>
  </si>
  <si>
    <t>621683424</t>
  </si>
  <si>
    <t>651364225</t>
  </si>
  <si>
    <t>679921243</t>
  </si>
  <si>
    <t>361973284</t>
  </si>
  <si>
    <t>348336513</t>
  </si>
  <si>
    <t>575165378</t>
  </si>
  <si>
    <t>361973417</t>
  </si>
  <si>
    <t>686088011</t>
  </si>
  <si>
    <t>1341268920</t>
  </si>
  <si>
    <t>651364262</t>
  </si>
  <si>
    <t>679921545</t>
  </si>
  <si>
    <t>686087701</t>
  </si>
  <si>
    <t>651364273</t>
  </si>
  <si>
    <t>670467843</t>
  </si>
  <si>
    <t>1341270488</t>
  </si>
  <si>
    <t>82101985</t>
  </si>
  <si>
    <t>361974893</t>
  </si>
  <si>
    <t>235961004</t>
  </si>
  <si>
    <t>285798712</t>
  </si>
  <si>
    <t>361974945</t>
  </si>
  <si>
    <t>218666049</t>
  </si>
  <si>
    <t>214559613</t>
  </si>
  <si>
    <t>361975565</t>
  </si>
  <si>
    <t>361974201</t>
  </si>
  <si>
    <t>82112480</t>
  </si>
  <si>
    <t>82112510</t>
  </si>
  <si>
    <t>82112236</t>
  </si>
  <si>
    <t>82111438</t>
  </si>
  <si>
    <t>1309525174</t>
  </si>
  <si>
    <t>85183107</t>
  </si>
  <si>
    <t>85183186</t>
  </si>
  <si>
    <t>82112663</t>
  </si>
  <si>
    <t>1330004126</t>
  </si>
  <si>
    <t>83467142</t>
  </si>
  <si>
    <t>82111936</t>
  </si>
  <si>
    <t>443209115</t>
  </si>
  <si>
    <t>82111692</t>
  </si>
  <si>
    <t>102940429</t>
  </si>
  <si>
    <t>685392542</t>
  </si>
  <si>
    <t>1332330412</t>
  </si>
  <si>
    <t>82112411</t>
  </si>
  <si>
    <t>390155448</t>
  </si>
  <si>
    <t>82112107</t>
  </si>
  <si>
    <t>82111731</t>
  </si>
  <si>
    <t>685748911</t>
  </si>
  <si>
    <t>85183294</t>
  </si>
  <si>
    <t>171990933</t>
  </si>
  <si>
    <t>1332509501</t>
  </si>
  <si>
    <t>82112708</t>
  </si>
  <si>
    <t>82112693</t>
  </si>
  <si>
    <t>85862557</t>
  </si>
  <si>
    <t>171991518</t>
  </si>
  <si>
    <t>82112540</t>
  </si>
  <si>
    <t>443214965</t>
  </si>
  <si>
    <t>82112525</t>
  </si>
  <si>
    <t>82112023</t>
  </si>
  <si>
    <t>82111576</t>
  </si>
  <si>
    <t>443210689</t>
  </si>
  <si>
    <t>98665048</t>
  </si>
  <si>
    <t>82112153</t>
  </si>
  <si>
    <t>82112138</t>
  </si>
  <si>
    <t>82112054</t>
  </si>
  <si>
    <t>92178254</t>
  </si>
  <si>
    <t>87161295</t>
  </si>
  <si>
    <t>361975776</t>
  </si>
  <si>
    <t>1331332416</t>
  </si>
  <si>
    <t>1332330642</t>
  </si>
  <si>
    <t>82111662</t>
  </si>
  <si>
    <t>82111647</t>
  </si>
  <si>
    <t>82112571</t>
  </si>
  <si>
    <t>450532861</t>
  </si>
  <si>
    <t>82112786</t>
  </si>
  <si>
    <t>431908648</t>
  </si>
  <si>
    <t>1345741491</t>
  </si>
  <si>
    <t>1371293209</t>
  </si>
  <si>
    <t>1345741466</t>
  </si>
  <si>
    <t>1305050473</t>
  </si>
  <si>
    <t>1371930305</t>
  </si>
  <si>
    <t>1345741484</t>
  </si>
  <si>
    <t>1376731676</t>
  </si>
  <si>
    <t>1376968420</t>
  </si>
  <si>
    <t>1332332615</t>
  </si>
  <si>
    <t>O</t>
  </si>
  <si>
    <t xml:space="preserve">205/75R17,5 CORDIANT_PROFESSIONAL, DR-1 б/к  </t>
  </si>
  <si>
    <t xml:space="preserve">215/75R17,5 CORDIANT_PROFESSIONAL, FR-1 б/к  </t>
  </si>
  <si>
    <t xml:space="preserve">215/75R17,5 CORDIANT_PROFESSIONAL, DR-1 б/к  </t>
  </si>
  <si>
    <t>215/75R17,5 CORDIANT_PROFESSIONAL, TR-1 б/к</t>
  </si>
  <si>
    <t>225/75R17,5  CORDIANT_PROFESSIONAL, DR-1 б/к</t>
  </si>
  <si>
    <t xml:space="preserve">235/75R17,5 CORDIANT_PROFESSIONAL, FR-1 б/к  </t>
  </si>
  <si>
    <t xml:space="preserve">235/75R17,5 CORDIANT_PROFESSIONAL, DR-1 б/к  </t>
  </si>
  <si>
    <t xml:space="preserve">235/75R17,5 CORDIANT_PROFESSIONAL, TR-2 б/к  </t>
  </si>
  <si>
    <t>245/70R17,5 CORDIANT_PROFESSIONAL, TR-2 б/к</t>
  </si>
  <si>
    <t xml:space="preserve">245/70R19,5 CORDIANT_PROFESSIONAL, FR-1 б/к  </t>
  </si>
  <si>
    <t xml:space="preserve">245/70R19,5 CORDIANT_PROFESSIONAL, DR-1 б/к  </t>
  </si>
  <si>
    <t xml:space="preserve">245/70R19,5 CORDIANT_PROFESSIONAL, VR-1 б/к  </t>
  </si>
  <si>
    <t xml:space="preserve">265/70R19,5 CORDIANT_PROFESSIONAL, VC-1 б/к  </t>
  </si>
  <si>
    <t xml:space="preserve">265/70R19,5 CORDIANT_PROFESSIONAL, TR-1 б/к  </t>
  </si>
  <si>
    <t>285/70R19,5 CORDIANT_PROFESSIONAL, FR-1 б/к</t>
  </si>
  <si>
    <t>275/70R22,5 CORDIANT_PROFESSIONAL, VC-1 б/к</t>
  </si>
  <si>
    <t>295/60R22,5 CORDIANT_PROFESSIONAL, FL-1 б/к</t>
  </si>
  <si>
    <t xml:space="preserve">295/60R22,5 CORDIANT_PROFESSIONAL, DL-1 б/к </t>
  </si>
  <si>
    <t xml:space="preserve">295/75R22,5 CORDIANT_PROFESSIONAL, DR-1 б/к  </t>
  </si>
  <si>
    <t xml:space="preserve">295/80R22,5 CORDIANT_PROFESSIONAL, FR-1 б/к  </t>
  </si>
  <si>
    <t>295/80R22,5 CORDIANT_PROFESSIONAL, DR-1 и153/148M б/к</t>
  </si>
  <si>
    <t>315/60R22,5 CORDIANT_PROFESSIONAL, FL-1 б/к</t>
  </si>
  <si>
    <t>315/60R22,5 CORDIANT_PROFESSIONAL, DL-1 б/к</t>
  </si>
  <si>
    <t xml:space="preserve">315/70R22,5 CORDIANT_PROFESSIONAL, FR-1 б/к  </t>
  </si>
  <si>
    <t xml:space="preserve">315/70R22,5 CORDIANT_PROFESSIONAL, DR-1 б/к  </t>
  </si>
  <si>
    <t xml:space="preserve">315/70R22,5 CORDIANT_PROFESSIONAL, FL-2 б/к </t>
  </si>
  <si>
    <t xml:space="preserve">315/70R22,5 CORDIANT_PROFESSIONAL, DL-2 б/к </t>
  </si>
  <si>
    <t xml:space="preserve">315/80R22,5 CORDIANT_PROFESSIONAL, FR-1 б/к  </t>
  </si>
  <si>
    <t>315/80R22,5 CORDIANT_PROFESSIONAL, DR-1 и157/150L б/к</t>
  </si>
  <si>
    <t>315/80R22,5 CORDIANT_PROFESSIONAL, VM-1 б/к</t>
  </si>
  <si>
    <t>315/80R22,5 CORDIANT_PROFESSIONAL, DM-1 б/к</t>
  </si>
  <si>
    <t>315/80R22,5 CORDIANT_PROFESSIONAL, DO-1 б/к</t>
  </si>
  <si>
    <t xml:space="preserve">385/55R22,5 CORDIANT_PROFESSIONAL, FL-2 б/к </t>
  </si>
  <si>
    <t xml:space="preserve">385/55R22,5 CORDIANT_PROFESSIONAL, TR-1 б/к  </t>
  </si>
  <si>
    <t xml:space="preserve">385/65R22,5 CORDIANT_PROFESSIONAL, TR-1 б/к  </t>
  </si>
  <si>
    <t xml:space="preserve">385/65R22,5 CORDIANT_PROFESSIONAL, TR-2 б/к  </t>
  </si>
  <si>
    <t xml:space="preserve">385/65R22,5 CORDIANT_PROFESSIONAL, FR-1 б/к  </t>
  </si>
  <si>
    <t xml:space="preserve">385/65R22,5 CORDIANT_PROFESSIONAL, TM-1 HEAVY 164K б/к </t>
  </si>
  <si>
    <t>385/65R22,5 CORDIANT_PROFESSIONAL, TL-1</t>
  </si>
  <si>
    <t>11R22,5 CORDIANT_PROFESSIONAL, VM-1 б/к</t>
  </si>
  <si>
    <t xml:space="preserve">11R22,5 CORDIANT_PROFESSIONAL, DM-1 б/к </t>
  </si>
  <si>
    <t xml:space="preserve">12R22,5 CORDIANT_PROFESSIONAL, DM-1 б/к </t>
  </si>
  <si>
    <t>13R22,5 CORDIANT_PROFESSIONAL, VM-1 б/к</t>
  </si>
  <si>
    <t>13R22,5 CORDIANT_PROFESSIONAL, DM-1 б/к</t>
  </si>
  <si>
    <t xml:space="preserve">12,00R20 TYREX_ALL_STEEL, VM-1 и154/150К  </t>
  </si>
  <si>
    <t xml:space="preserve">12,00R20 TYREX_ALL_STEEL, DM-404 и158/153F  </t>
  </si>
  <si>
    <t xml:space="preserve">11R22,5 Я-467 б/к  </t>
  </si>
  <si>
    <t xml:space="preserve">275/70R22,5 TYREX_ALL_STEEL, VC-1 б/к </t>
  </si>
  <si>
    <t xml:space="preserve">295/80R22,5 FR-401,TYREX_ALL_STEEL б/к  </t>
  </si>
  <si>
    <t xml:space="preserve">295/80R22,5 DR-1, TYREX_ALL_STEEL б/к </t>
  </si>
  <si>
    <t xml:space="preserve">295/80R22,5 VR-1, TYREX_ALL_STEEL б/к </t>
  </si>
  <si>
    <t xml:space="preserve">315/80R22,5 FR-401,TYREX_ALL_STEEL б/к  </t>
  </si>
  <si>
    <t xml:space="preserve">315/80R22,5 DR-1,TYREX_ALL_STEEL б/к  </t>
  </si>
  <si>
    <t xml:space="preserve">315/80R22,5 VM-1, TYREX_ALL_STEEL б/к </t>
  </si>
  <si>
    <t xml:space="preserve">385/65R22,5 TYREX_ALL_STEEL, TR-1 б/к </t>
  </si>
  <si>
    <t xml:space="preserve">7,50-20 ИЯ-112А нс8  </t>
  </si>
  <si>
    <t xml:space="preserve">8,25-20 ИК-6АМО нс10  </t>
  </si>
  <si>
    <t xml:space="preserve">8,25-20 М-149А нс14  </t>
  </si>
  <si>
    <t xml:space="preserve">8,25R20 У-2 нс10  </t>
  </si>
  <si>
    <t xml:space="preserve">8,25R20 У-2 нс14  </t>
  </si>
  <si>
    <t>8,25R20 TYREX CRG, VM-201 нс12  POR</t>
  </si>
  <si>
    <t>8,25R20 TYREX CRG, VM-201 нс14  POR</t>
  </si>
  <si>
    <t xml:space="preserve">8,25R20 TYREX CRG ROAD, О-79 нс12  </t>
  </si>
  <si>
    <t xml:space="preserve">8,25R20 TYREX CRG ROAD, О-79 нс14  </t>
  </si>
  <si>
    <t xml:space="preserve">9,00-20 ВИ-244,УД1 нс12  </t>
  </si>
  <si>
    <t xml:space="preserve">9,00R20 И-Н142Б-1 нс14  </t>
  </si>
  <si>
    <t xml:space="preserve">9,00R20 И-Н142Б-1   </t>
  </si>
  <si>
    <t xml:space="preserve">9,00R20 О-128 нс12  </t>
  </si>
  <si>
    <t xml:space="preserve">9,00R20 О-40БМ-1 нс14  </t>
  </si>
  <si>
    <t xml:space="preserve">9,00R20 О-40БМ-1 нс12  </t>
  </si>
  <si>
    <t xml:space="preserve">9,00R20 TYREX CRG, VM-201   </t>
  </si>
  <si>
    <t>10,00R20 TYREX CRG, VM-310 нс 16</t>
  </si>
  <si>
    <t>10,00R20 TYREX CRG, VM-310 нс 18</t>
  </si>
  <si>
    <t xml:space="preserve">10,00R20 И-281,У-4 нс16  </t>
  </si>
  <si>
    <t xml:space="preserve">10,00R20 И-281,У-4 нс18  </t>
  </si>
  <si>
    <t xml:space="preserve">10,00R20 ОИ-73Б нс16  </t>
  </si>
  <si>
    <t xml:space="preserve">10,00R20 О-164 нс16  </t>
  </si>
  <si>
    <t>11,00R20 TYREX CRG, VM-310</t>
  </si>
  <si>
    <t xml:space="preserve">11,00R20 TYREX CRG UNIVERSAL, О-168 нс16  </t>
  </si>
  <si>
    <t xml:space="preserve">12,00-18 К-70   </t>
  </si>
  <si>
    <t>12,00R18 TYREX_CRG, VM-115, РК-5-95</t>
  </si>
  <si>
    <t>12,00R18 TYREX_CRG, VM-115, РК-5-120</t>
  </si>
  <si>
    <t xml:space="preserve">12,00-20 ВИ-243,УД1 нс14  </t>
  </si>
  <si>
    <t xml:space="preserve">12,00-20 ВИ-243,УД1 нс16  </t>
  </si>
  <si>
    <t xml:space="preserve">12,00-20 ИЯ-241 нс20  </t>
  </si>
  <si>
    <t xml:space="preserve">12,00-20 М-93   </t>
  </si>
  <si>
    <t xml:space="preserve">12,00R20 ИД-304,У-4 нс14  </t>
  </si>
  <si>
    <t xml:space="preserve">12,00R20 ИД-304М,У-4 нс18  </t>
  </si>
  <si>
    <t xml:space="preserve">12,00R20 ИД-304,У-4 нс18  </t>
  </si>
  <si>
    <t xml:space="preserve">12,00R20 О-108 нс18  </t>
  </si>
  <si>
    <t xml:space="preserve">12,00R20 О-75 нс18  </t>
  </si>
  <si>
    <t xml:space="preserve">12,00R20 О-75М нс18  </t>
  </si>
  <si>
    <t xml:space="preserve">12,00R20 TYREX CRG, VM-201   </t>
  </si>
  <si>
    <t xml:space="preserve">14,00-20 ОИ-25 нс10 и140 </t>
  </si>
  <si>
    <t xml:space="preserve">14,00-20 ОИ-25 нс14 и147 </t>
  </si>
  <si>
    <t xml:space="preserve">14,00R20 О-103 нс18  </t>
  </si>
  <si>
    <t xml:space="preserve">425/85R21 TYREX CRG POWER, О-184 нс14  </t>
  </si>
  <si>
    <t xml:space="preserve">425/85R21 TYREX CRG POWER, О-184 нс18  </t>
  </si>
  <si>
    <t xml:space="preserve">425/85R21 TYREX CRG POWER,  О-184 нс20 </t>
  </si>
  <si>
    <t>425/85R21 TYREX CRG VO-1260 нс20</t>
  </si>
  <si>
    <t>425/85R21 TYREX CRG VO-1260-1 нс20</t>
  </si>
  <si>
    <t xml:space="preserve">1100Х400-533 О-47А нс12 и145 </t>
  </si>
  <si>
    <t xml:space="preserve">1100Х400-533 О-47А нс14 и149 </t>
  </si>
  <si>
    <t xml:space="preserve">500/70-508(1200-500-508) ИД-П284 нс16 и156 </t>
  </si>
  <si>
    <t>1220Х400-533 И-П184 нс10 и142</t>
  </si>
  <si>
    <t xml:space="preserve">1300Х530-533 ВИ-3 нс12 и156 </t>
  </si>
  <si>
    <t xml:space="preserve">1300Х530-533 ВИ-3 нс16 и173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</si>
</sst>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" fontId="0" fillId="2" borderId="0" xfId="0" applyNumberFormat="1" applyFill="1"/>
    <xf numFmtId="0" fontId="0" fillId="0" borderId="0" xfId="0" applyFill="1"/>
    <xf numFmtId="49" fontId="0" fillId="0" borderId="0" xfId="0" applyNumberFormat="1" applyFill="1" applyAlignment="1"/>
    <xf numFmtId="1" fontId="0" fillId="0" borderId="0" xfId="0" applyNumberFormat="1" applyFill="1"/>
    <xf numFmtId="4" fontId="0" fillId="0" borderId="0" xfId="0" applyNumberFormat="1" applyFill="1"/>
    <xf numFmtId="0" fontId="0" fillId="0" borderId="0" xfId="0" applyFill="1" applyAlignment="1">
      <alignment wrapText="1"/>
    </xf>
    <xf numFmtId="49" fontId="0" fillId="0" borderId="0" xfId="0" applyNumberFormat="1" applyFill="1"/>
    <xf numFmtId="1" fontId="0" fillId="4" borderId="0" xfId="0" applyNumberFormat="1" applyFill="1"/>
    <xf numFmtId="0" fontId="0" fillId="5" borderId="0" xfId="0" applyFill="1" applyAlignment="1">
      <alignment horizontal="center"/>
    </xf>
    <xf numFmtId="2" fontId="0" fillId="3" borderId="0" xfId="0" applyNumberFormat="1" applyFill="1"/>
    <xf numFmtId="49" fontId="0" fillId="6" borderId="0" xfId="0" applyNumberFormat="1" applyFill="1" applyAlignment="1"/>
    <xf numFmtId="2" fontId="0" fillId="6" borderId="0" xfId="0" applyNumberFormat="1" applyFill="1"/>
    <xf numFmtId="4" fontId="0" fillId="6" borderId="0" xfId="0" applyNumberFormat="1" applyFill="1"/>
    <xf numFmtId="0" fontId="0" fillId="6" borderId="0" xfId="0" applyFill="1"/>
    <xf numFmtId="49" fontId="0" fillId="7" borderId="0" xfId="0" applyNumberFormat="1" applyFill="1" applyAlignment="1"/>
    <xf numFmtId="1" fontId="0" fillId="7" borderId="0" xfId="0" applyNumberFormat="1" applyFill="1"/>
    <xf numFmtId="2" fontId="0" fillId="7" borderId="0" xfId="0" applyNumberFormat="1" applyFill="1"/>
    <xf numFmtId="4" fontId="0" fillId="7" borderId="0" xfId="0" applyNumberFormat="1" applyFill="1"/>
    <xf numFmtId="0" fontId="0" fillId="7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7"/>
  <sheetViews>
    <sheetView tabSelected="1" topLeftCell="A32" workbookViewId="0">
      <selection activeCell="I44" sqref="I44"/>
    </sheetView>
  </sheetViews>
  <sheetFormatPr defaultRowHeight="15" x14ac:dyDescent="0.25"/>
  <cols>
    <col min="1" max="1" width="15.5703125" style="7" customWidth="1"/>
    <col min="2" max="2" width="60.5703125" style="4" customWidth="1"/>
    <col min="3" max="3" width="9.140625" style="10" customWidth="1"/>
    <col min="4" max="4" width="8.5703125" style="9" customWidth="1"/>
    <col min="5" max="5" width="9.140625" style="2"/>
    <col min="6" max="6" width="9.140625" style="8"/>
    <col min="7" max="7" width="9.140625" style="1"/>
    <col min="8" max="8" width="9.140625" style="2"/>
    <col min="9" max="9" width="54.140625" style="2" customWidth="1"/>
    <col min="10" max="16384" width="9.140625" style="2"/>
  </cols>
  <sheetData>
    <row r="1" spans="1:21" x14ac:dyDescent="0.25">
      <c r="A1" s="7" t="s">
        <v>0</v>
      </c>
      <c r="B1" s="4" t="s">
        <v>108</v>
      </c>
      <c r="C1" s="10">
        <v>12230.82</v>
      </c>
      <c r="D1" s="9" t="s">
        <v>107</v>
      </c>
      <c r="F1" s="8">
        <v>12842.361000000001</v>
      </c>
      <c r="G1" s="1">
        <f>F1*1.05</f>
        <v>13484.479050000002</v>
      </c>
      <c r="H1" s="5"/>
      <c r="J1" s="5"/>
      <c r="K1" s="5"/>
      <c r="N1" s="5"/>
    </row>
    <row r="2" spans="1:21" x14ac:dyDescent="0.25">
      <c r="A2" s="7" t="s">
        <v>1</v>
      </c>
      <c r="B2" s="4" t="s">
        <v>109</v>
      </c>
      <c r="C2" s="10">
        <v>12354.24</v>
      </c>
      <c r="D2" s="9" t="s">
        <v>107</v>
      </c>
      <c r="E2" s="5"/>
      <c r="F2" s="8">
        <v>12971.952000000001</v>
      </c>
      <c r="G2" s="1">
        <f t="shared" ref="G2:G65" si="0">F2*1.05</f>
        <v>13620.549600000002</v>
      </c>
      <c r="H2" s="5"/>
      <c r="I2" s="5"/>
      <c r="J2" s="5"/>
      <c r="K2" s="5"/>
      <c r="N2" s="5"/>
    </row>
    <row r="3" spans="1:21" x14ac:dyDescent="0.25">
      <c r="A3" s="3" t="s">
        <v>2</v>
      </c>
      <c r="B3" s="4" t="s">
        <v>110</v>
      </c>
      <c r="C3" s="10">
        <v>12622.5</v>
      </c>
      <c r="D3" s="9" t="s">
        <v>107</v>
      </c>
      <c r="E3" s="5"/>
      <c r="F3" s="8">
        <v>13253.625</v>
      </c>
      <c r="G3" s="1">
        <f t="shared" si="0"/>
        <v>13916.306250000001</v>
      </c>
      <c r="H3" s="5"/>
      <c r="I3" s="5"/>
      <c r="J3" s="5"/>
      <c r="K3" s="5"/>
      <c r="N3" s="5"/>
      <c r="T3" s="5"/>
      <c r="U3" s="5"/>
    </row>
    <row r="4" spans="1:21" x14ac:dyDescent="0.25">
      <c r="A4" s="3" t="s">
        <v>3</v>
      </c>
      <c r="B4" s="4" t="s">
        <v>111</v>
      </c>
      <c r="C4" s="10">
        <v>12354.24</v>
      </c>
      <c r="D4" s="9" t="s">
        <v>107</v>
      </c>
      <c r="E4" s="5"/>
      <c r="F4" s="8">
        <v>12971.952000000001</v>
      </c>
      <c r="G4" s="1">
        <f t="shared" si="0"/>
        <v>13620.549600000002</v>
      </c>
      <c r="H4" s="5"/>
      <c r="I4" s="5"/>
      <c r="J4" s="5"/>
      <c r="K4" s="5"/>
      <c r="N4" s="5"/>
      <c r="T4" s="5"/>
      <c r="U4" s="5"/>
    </row>
    <row r="5" spans="1:21" x14ac:dyDescent="0.25">
      <c r="A5" s="3" t="s">
        <v>4</v>
      </c>
      <c r="B5" s="4" t="s">
        <v>112</v>
      </c>
      <c r="C5" s="10">
        <v>14036.22</v>
      </c>
      <c r="D5" s="9" t="s">
        <v>107</v>
      </c>
      <c r="E5" s="5"/>
      <c r="F5" s="8">
        <v>14738.030999999999</v>
      </c>
      <c r="G5" s="1">
        <f t="shared" si="0"/>
        <v>15474.93255</v>
      </c>
      <c r="H5" s="5"/>
      <c r="I5" s="5"/>
      <c r="J5" s="5"/>
      <c r="K5" s="5"/>
      <c r="N5" s="5"/>
      <c r="T5" s="5"/>
      <c r="U5" s="5"/>
    </row>
    <row r="6" spans="1:21" x14ac:dyDescent="0.25">
      <c r="A6" s="3" t="s">
        <v>5</v>
      </c>
      <c r="B6" s="4" t="s">
        <v>113</v>
      </c>
      <c r="C6" s="10">
        <v>14992.98</v>
      </c>
      <c r="D6" s="9" t="s">
        <v>107</v>
      </c>
      <c r="E6" s="5"/>
      <c r="F6" s="8">
        <v>15742.629000000001</v>
      </c>
      <c r="G6" s="1">
        <f t="shared" si="0"/>
        <v>16529.760450000002</v>
      </c>
      <c r="H6" s="5"/>
      <c r="I6" s="5"/>
      <c r="J6" s="5"/>
      <c r="K6" s="5"/>
      <c r="N6" s="5"/>
      <c r="T6" s="5"/>
      <c r="U6" s="5"/>
    </row>
    <row r="7" spans="1:21" x14ac:dyDescent="0.25">
      <c r="A7" s="3" t="s">
        <v>6</v>
      </c>
      <c r="B7" s="4" t="s">
        <v>114</v>
      </c>
      <c r="C7" s="10">
        <v>15510.12</v>
      </c>
      <c r="D7" s="9" t="s">
        <v>107</v>
      </c>
      <c r="E7" s="5"/>
      <c r="F7" s="8">
        <v>16285.626000000002</v>
      </c>
      <c r="G7" s="1">
        <f t="shared" si="0"/>
        <v>17099.907300000003</v>
      </c>
      <c r="H7" s="5"/>
      <c r="I7" s="5"/>
      <c r="J7" s="5"/>
      <c r="K7" s="5"/>
      <c r="N7" s="5"/>
      <c r="T7" s="5"/>
      <c r="U7" s="5"/>
    </row>
    <row r="8" spans="1:21" x14ac:dyDescent="0.25">
      <c r="A8" s="3" t="s">
        <v>98</v>
      </c>
      <c r="B8" s="4" t="s">
        <v>115</v>
      </c>
      <c r="C8" s="10">
        <v>14486.04</v>
      </c>
      <c r="D8" s="9" t="s">
        <v>107</v>
      </c>
      <c r="E8" s="5"/>
      <c r="F8" s="8">
        <v>15210.342000000002</v>
      </c>
      <c r="G8" s="1">
        <f t="shared" si="0"/>
        <v>15970.859100000003</v>
      </c>
      <c r="H8" s="5"/>
      <c r="I8" s="5"/>
      <c r="J8" s="5"/>
      <c r="K8" s="5"/>
      <c r="N8" s="5"/>
      <c r="T8" s="5"/>
      <c r="U8" s="5"/>
    </row>
    <row r="9" spans="1:21" x14ac:dyDescent="0.25">
      <c r="A9" s="3" t="s">
        <v>7</v>
      </c>
      <c r="B9" s="4" t="s">
        <v>116</v>
      </c>
      <c r="C9" s="10">
        <v>14489.1</v>
      </c>
      <c r="D9" s="9" t="s">
        <v>107</v>
      </c>
      <c r="E9" s="5"/>
      <c r="F9" s="8">
        <v>15213.555</v>
      </c>
      <c r="G9" s="1">
        <f t="shared" si="0"/>
        <v>15974.232750000001</v>
      </c>
      <c r="H9" s="5"/>
      <c r="I9" s="5"/>
      <c r="J9" s="5"/>
      <c r="K9" s="5"/>
      <c r="N9" s="5"/>
      <c r="T9" s="5"/>
      <c r="U9" s="5"/>
    </row>
    <row r="10" spans="1:21" x14ac:dyDescent="0.25">
      <c r="A10" s="3" t="s">
        <v>8</v>
      </c>
      <c r="B10" s="4" t="s">
        <v>117</v>
      </c>
      <c r="C10" s="10">
        <v>15153.12</v>
      </c>
      <c r="D10" s="9" t="s">
        <v>107</v>
      </c>
      <c r="E10" s="5"/>
      <c r="F10" s="8">
        <v>15910.776000000002</v>
      </c>
      <c r="G10" s="1">
        <f t="shared" si="0"/>
        <v>16706.314800000004</v>
      </c>
      <c r="H10" s="5"/>
      <c r="I10" s="5"/>
      <c r="J10" s="5"/>
      <c r="K10" s="5"/>
      <c r="N10" s="5"/>
      <c r="T10" s="5"/>
      <c r="U10" s="5"/>
    </row>
    <row r="11" spans="1:21" x14ac:dyDescent="0.25">
      <c r="A11" s="3" t="s">
        <v>9</v>
      </c>
      <c r="B11" s="4" t="s">
        <v>118</v>
      </c>
      <c r="C11" s="10">
        <v>15696.78</v>
      </c>
      <c r="D11" s="9" t="s">
        <v>107</v>
      </c>
      <c r="E11" s="5"/>
      <c r="F11" s="8">
        <v>16481.619000000002</v>
      </c>
      <c r="G11" s="1">
        <f t="shared" si="0"/>
        <v>17305.699950000002</v>
      </c>
      <c r="H11" s="5"/>
      <c r="I11" s="5"/>
      <c r="J11" s="5"/>
      <c r="K11" s="5"/>
      <c r="N11" s="5"/>
      <c r="T11" s="5"/>
      <c r="U11" s="5"/>
    </row>
    <row r="12" spans="1:21" x14ac:dyDescent="0.25">
      <c r="A12" s="3" t="s">
        <v>10</v>
      </c>
      <c r="B12" s="4" t="s">
        <v>119</v>
      </c>
      <c r="C12" s="10">
        <v>15947.7</v>
      </c>
      <c r="D12" s="9" t="s">
        <v>107</v>
      </c>
      <c r="E12" s="5"/>
      <c r="F12" s="8">
        <v>16745.085000000003</v>
      </c>
      <c r="G12" s="1">
        <f t="shared" si="0"/>
        <v>17582.339250000005</v>
      </c>
      <c r="H12" s="5"/>
      <c r="I12" s="5"/>
      <c r="J12" s="5"/>
      <c r="K12" s="5"/>
      <c r="N12" s="5"/>
      <c r="T12" s="5"/>
      <c r="U12" s="5"/>
    </row>
    <row r="13" spans="1:21" x14ac:dyDescent="0.25">
      <c r="A13" s="3" t="s">
        <v>102</v>
      </c>
      <c r="B13" s="4" t="s">
        <v>120</v>
      </c>
      <c r="C13" s="10">
        <v>17265.54</v>
      </c>
      <c r="D13" s="9" t="s">
        <v>107</v>
      </c>
      <c r="E13" s="5"/>
      <c r="F13" s="8">
        <v>18128.817000000003</v>
      </c>
      <c r="G13" s="1">
        <f t="shared" si="0"/>
        <v>19035.257850000005</v>
      </c>
      <c r="H13" s="5"/>
      <c r="I13" s="5"/>
      <c r="J13" s="5"/>
      <c r="K13" s="5"/>
      <c r="N13" s="5"/>
      <c r="T13" s="5"/>
      <c r="U13" s="5"/>
    </row>
    <row r="14" spans="1:21" x14ac:dyDescent="0.25">
      <c r="A14" s="3" t="s">
        <v>11</v>
      </c>
      <c r="B14" s="4" t="s">
        <v>121</v>
      </c>
      <c r="C14" s="10">
        <v>19339.2</v>
      </c>
      <c r="D14" s="9" t="s">
        <v>107</v>
      </c>
      <c r="E14" s="5"/>
      <c r="F14" s="8">
        <v>20306.16</v>
      </c>
      <c r="G14" s="1">
        <f t="shared" si="0"/>
        <v>21321.468000000001</v>
      </c>
      <c r="H14" s="5"/>
      <c r="I14" s="5"/>
      <c r="J14" s="5"/>
      <c r="K14" s="5"/>
      <c r="N14" s="5"/>
      <c r="T14" s="5"/>
      <c r="U14" s="5"/>
    </row>
    <row r="15" spans="1:21" x14ac:dyDescent="0.25">
      <c r="A15" s="3" t="s">
        <v>12</v>
      </c>
      <c r="B15" s="4" t="s">
        <v>122</v>
      </c>
      <c r="C15" s="10">
        <v>20223.54</v>
      </c>
      <c r="D15" s="9" t="s">
        <v>107</v>
      </c>
      <c r="E15" s="5"/>
      <c r="F15" s="8">
        <v>21234.717000000001</v>
      </c>
      <c r="G15" s="1">
        <f t="shared" si="0"/>
        <v>22296.452850000001</v>
      </c>
      <c r="H15" s="5"/>
      <c r="I15" s="5"/>
      <c r="J15" s="5"/>
      <c r="K15" s="5"/>
      <c r="N15" s="5"/>
      <c r="T15" s="5"/>
      <c r="U15" s="5"/>
    </row>
    <row r="16" spans="1:21" x14ac:dyDescent="0.25">
      <c r="A16" s="3" t="s">
        <v>13</v>
      </c>
      <c r="B16" s="4" t="s">
        <v>123</v>
      </c>
      <c r="C16" s="10">
        <v>27016.74</v>
      </c>
      <c r="D16" s="9" t="s">
        <v>107</v>
      </c>
      <c r="E16" s="5"/>
      <c r="F16" s="8">
        <v>28367.577000000001</v>
      </c>
      <c r="G16" s="1">
        <f t="shared" si="0"/>
        <v>29785.955850000002</v>
      </c>
      <c r="H16" s="5"/>
      <c r="I16" s="5"/>
      <c r="J16" s="5"/>
      <c r="K16" s="5"/>
      <c r="N16" s="5"/>
      <c r="T16" s="5"/>
      <c r="U16" s="5"/>
    </row>
    <row r="17" spans="1:21" x14ac:dyDescent="0.25">
      <c r="A17" s="3" t="s">
        <v>14</v>
      </c>
      <c r="B17" s="4" t="s">
        <v>124</v>
      </c>
      <c r="C17" s="10">
        <v>28817.040000000001</v>
      </c>
      <c r="D17" s="9" t="s">
        <v>107</v>
      </c>
      <c r="E17" s="5"/>
      <c r="F17" s="8">
        <v>30257.892000000003</v>
      </c>
      <c r="G17" s="1">
        <f t="shared" si="0"/>
        <v>31770.786600000007</v>
      </c>
      <c r="H17" s="5"/>
      <c r="I17" s="5"/>
      <c r="J17" s="5"/>
      <c r="K17" s="5"/>
      <c r="N17" s="5"/>
      <c r="R17" s="6"/>
      <c r="T17" s="5"/>
      <c r="U17" s="5"/>
    </row>
    <row r="18" spans="1:21" x14ac:dyDescent="0.25">
      <c r="A18" s="3" t="s">
        <v>15</v>
      </c>
      <c r="B18" s="4" t="s">
        <v>125</v>
      </c>
      <c r="C18" s="10">
        <v>29998.2</v>
      </c>
      <c r="D18" s="9" t="s">
        <v>107</v>
      </c>
      <c r="E18" s="5"/>
      <c r="F18" s="8">
        <v>31498.11</v>
      </c>
      <c r="G18" s="1">
        <f t="shared" si="0"/>
        <v>33073.015500000001</v>
      </c>
      <c r="H18" s="5"/>
      <c r="I18" s="5"/>
      <c r="J18" s="5"/>
      <c r="K18" s="5"/>
      <c r="N18" s="5"/>
      <c r="T18" s="5"/>
      <c r="U18" s="5"/>
    </row>
    <row r="19" spans="1:21" x14ac:dyDescent="0.25">
      <c r="A19" s="3" t="s">
        <v>16</v>
      </c>
      <c r="B19" s="4" t="s">
        <v>126</v>
      </c>
      <c r="C19" s="10">
        <v>30753</v>
      </c>
      <c r="D19" s="9" t="s">
        <v>107</v>
      </c>
      <c r="E19" s="5"/>
      <c r="F19" s="8">
        <v>32290.65</v>
      </c>
      <c r="G19" s="1">
        <f t="shared" si="0"/>
        <v>33905.182500000003</v>
      </c>
      <c r="H19" s="5"/>
      <c r="I19" s="5"/>
      <c r="J19" s="5"/>
      <c r="K19" s="5"/>
      <c r="N19" s="5"/>
      <c r="R19" s="6"/>
      <c r="T19" s="5"/>
      <c r="U19" s="5"/>
    </row>
    <row r="20" spans="1:21" x14ac:dyDescent="0.25">
      <c r="A20" s="3" t="s">
        <v>17</v>
      </c>
      <c r="B20" s="4" t="s">
        <v>127</v>
      </c>
      <c r="C20" s="10">
        <v>27803.16</v>
      </c>
      <c r="D20" s="9" t="s">
        <v>107</v>
      </c>
      <c r="E20" s="5"/>
      <c r="F20" s="8">
        <v>29193.317999999999</v>
      </c>
      <c r="G20" s="1">
        <f t="shared" si="0"/>
        <v>30652.983899999999</v>
      </c>
      <c r="H20" s="5"/>
      <c r="I20" s="5"/>
      <c r="J20" s="5"/>
      <c r="K20" s="5"/>
      <c r="N20" s="5"/>
      <c r="R20" s="6"/>
      <c r="T20" s="5"/>
      <c r="U20" s="5"/>
    </row>
    <row r="21" spans="1:21" x14ac:dyDescent="0.25">
      <c r="A21" s="3" t="s">
        <v>103</v>
      </c>
      <c r="B21" s="4" t="s">
        <v>128</v>
      </c>
      <c r="C21" s="10">
        <v>29825.82</v>
      </c>
      <c r="D21" s="9" t="s">
        <v>107</v>
      </c>
      <c r="E21" s="5"/>
      <c r="F21" s="8">
        <v>31317.111000000001</v>
      </c>
      <c r="G21" s="1">
        <f t="shared" si="0"/>
        <v>32882.966550000005</v>
      </c>
      <c r="H21" s="5"/>
      <c r="I21" s="5"/>
      <c r="J21" s="5"/>
      <c r="K21" s="5"/>
      <c r="N21" s="5"/>
      <c r="T21" s="5"/>
      <c r="U21" s="5"/>
    </row>
    <row r="22" spans="1:21" x14ac:dyDescent="0.25">
      <c r="A22" s="3" t="s">
        <v>18</v>
      </c>
      <c r="B22" s="4" t="s">
        <v>129</v>
      </c>
      <c r="C22" s="10">
        <v>29314.799999999999</v>
      </c>
      <c r="D22" s="9" t="s">
        <v>107</v>
      </c>
      <c r="E22" s="5"/>
      <c r="F22" s="8">
        <v>30780.54</v>
      </c>
      <c r="G22" s="1">
        <f t="shared" si="0"/>
        <v>32319.567000000003</v>
      </c>
      <c r="H22" s="5"/>
      <c r="I22" s="5"/>
      <c r="J22" s="5"/>
      <c r="K22" s="5"/>
      <c r="N22" s="5"/>
      <c r="T22" s="5"/>
      <c r="U22" s="5"/>
    </row>
    <row r="23" spans="1:21" x14ac:dyDescent="0.25">
      <c r="A23" s="3" t="s">
        <v>19</v>
      </c>
      <c r="B23" s="4" t="s">
        <v>130</v>
      </c>
      <c r="C23" s="10">
        <v>30185.88</v>
      </c>
      <c r="D23" s="9" t="s">
        <v>107</v>
      </c>
      <c r="E23" s="5"/>
      <c r="F23" s="8">
        <v>31695.174000000003</v>
      </c>
      <c r="G23" s="1">
        <f t="shared" si="0"/>
        <v>33279.932700000005</v>
      </c>
      <c r="H23" s="5"/>
      <c r="I23" s="5"/>
      <c r="J23" s="5"/>
      <c r="K23" s="5"/>
      <c r="N23" s="5"/>
      <c r="R23" s="6"/>
      <c r="T23" s="5"/>
      <c r="U23" s="5"/>
    </row>
    <row r="24" spans="1:21" x14ac:dyDescent="0.25">
      <c r="A24" s="3" t="s">
        <v>20</v>
      </c>
      <c r="B24" s="4" t="s">
        <v>131</v>
      </c>
      <c r="C24" s="10">
        <v>29626.92</v>
      </c>
      <c r="D24" s="9" t="s">
        <v>107</v>
      </c>
      <c r="E24" s="5"/>
      <c r="F24" s="8">
        <v>31108.266</v>
      </c>
      <c r="G24" s="1">
        <f t="shared" si="0"/>
        <v>32663.6793</v>
      </c>
      <c r="H24" s="5"/>
      <c r="I24" s="5"/>
      <c r="J24" s="5"/>
      <c r="K24" s="5"/>
      <c r="N24" s="5"/>
      <c r="R24" s="6"/>
      <c r="T24" s="5"/>
      <c r="U24" s="5"/>
    </row>
    <row r="25" spans="1:21" x14ac:dyDescent="0.25">
      <c r="A25" s="3" t="s">
        <v>21</v>
      </c>
      <c r="B25" s="4" t="s">
        <v>132</v>
      </c>
      <c r="C25" s="10">
        <v>31930.080000000002</v>
      </c>
      <c r="D25" s="9" t="s">
        <v>107</v>
      </c>
      <c r="E25" s="5"/>
      <c r="F25" s="8">
        <v>33526.584000000003</v>
      </c>
      <c r="G25" s="1">
        <f t="shared" si="0"/>
        <v>35202.913200000003</v>
      </c>
      <c r="H25" s="5"/>
      <c r="I25" s="5"/>
      <c r="J25" s="5"/>
      <c r="K25" s="5"/>
      <c r="N25" s="5"/>
      <c r="R25" s="6"/>
      <c r="T25" s="5"/>
      <c r="U25" s="5"/>
    </row>
    <row r="26" spans="1:21" x14ac:dyDescent="0.25">
      <c r="A26" s="3" t="s">
        <v>22</v>
      </c>
      <c r="B26" s="4" t="s">
        <v>133</v>
      </c>
      <c r="C26" s="10">
        <v>32077.98</v>
      </c>
      <c r="D26" s="9" t="s">
        <v>107</v>
      </c>
      <c r="E26" s="5"/>
      <c r="F26" s="8">
        <v>33681.879000000001</v>
      </c>
      <c r="G26" s="1">
        <f t="shared" si="0"/>
        <v>35365.972950000003</v>
      </c>
      <c r="H26" s="5"/>
      <c r="I26" s="5"/>
      <c r="J26" s="5"/>
      <c r="K26" s="5"/>
      <c r="N26" s="5"/>
      <c r="R26" s="6"/>
      <c r="T26" s="5"/>
      <c r="U26" s="5"/>
    </row>
    <row r="27" spans="1:21" x14ac:dyDescent="0.25">
      <c r="A27" s="3" t="s">
        <v>23</v>
      </c>
      <c r="B27" s="4" t="s">
        <v>134</v>
      </c>
      <c r="C27" s="10">
        <v>34607.58</v>
      </c>
      <c r="D27" s="9" t="s">
        <v>107</v>
      </c>
      <c r="E27" s="5"/>
      <c r="F27" s="8">
        <v>36337.959000000003</v>
      </c>
      <c r="G27" s="1">
        <f t="shared" si="0"/>
        <v>38154.856950000001</v>
      </c>
      <c r="H27" s="5"/>
      <c r="I27" s="5"/>
      <c r="J27" s="5"/>
      <c r="K27" s="5"/>
      <c r="N27" s="5"/>
      <c r="R27" s="6"/>
      <c r="T27" s="5"/>
      <c r="U27" s="5"/>
    </row>
    <row r="28" spans="1:21" x14ac:dyDescent="0.25">
      <c r="A28" s="3" t="s">
        <v>24</v>
      </c>
      <c r="B28" s="4" t="s">
        <v>135</v>
      </c>
      <c r="C28" s="10">
        <v>30524.52</v>
      </c>
      <c r="D28" s="9" t="s">
        <v>107</v>
      </c>
      <c r="E28" s="5"/>
      <c r="F28" s="8">
        <v>32050.746000000003</v>
      </c>
      <c r="G28" s="1">
        <f t="shared" si="0"/>
        <v>33653.283300000003</v>
      </c>
      <c r="H28" s="5"/>
      <c r="I28" s="5"/>
      <c r="J28" s="5"/>
      <c r="K28" s="5"/>
      <c r="N28" s="5"/>
      <c r="R28" s="6"/>
      <c r="T28" s="5"/>
      <c r="U28" s="5"/>
    </row>
    <row r="29" spans="1:21" x14ac:dyDescent="0.25">
      <c r="A29" s="3" t="s">
        <v>100</v>
      </c>
      <c r="B29" s="4" t="s">
        <v>136</v>
      </c>
      <c r="C29" s="10">
        <v>31989.24</v>
      </c>
      <c r="D29" s="9" t="s">
        <v>107</v>
      </c>
      <c r="E29" s="5"/>
      <c r="F29" s="8">
        <v>33588.702000000005</v>
      </c>
      <c r="G29" s="1">
        <f t="shared" si="0"/>
        <v>35268.137100000007</v>
      </c>
      <c r="H29" s="5"/>
      <c r="I29" s="5"/>
      <c r="J29" s="5"/>
      <c r="K29" s="5"/>
      <c r="N29" s="5"/>
      <c r="T29" s="5"/>
      <c r="U29" s="5"/>
    </row>
    <row r="30" spans="1:21" x14ac:dyDescent="0.25">
      <c r="A30" s="3" t="s">
        <v>25</v>
      </c>
      <c r="B30" s="4" t="s">
        <v>137</v>
      </c>
      <c r="C30" s="10">
        <v>32325.84</v>
      </c>
      <c r="D30" s="9" t="s">
        <v>107</v>
      </c>
      <c r="E30" s="5"/>
      <c r="F30" s="8">
        <v>33942.132000000005</v>
      </c>
      <c r="G30" s="1">
        <f t="shared" si="0"/>
        <v>35639.238600000004</v>
      </c>
      <c r="H30" s="5"/>
      <c r="I30" s="5"/>
      <c r="J30" s="5"/>
      <c r="K30" s="5"/>
      <c r="N30" s="5"/>
      <c r="T30" s="5"/>
      <c r="U30" s="5"/>
    </row>
    <row r="31" spans="1:21" x14ac:dyDescent="0.25">
      <c r="A31" s="3" t="s">
        <v>26</v>
      </c>
      <c r="B31" s="4" t="s">
        <v>138</v>
      </c>
      <c r="C31" s="10">
        <v>34513.74</v>
      </c>
      <c r="D31" s="9" t="s">
        <v>107</v>
      </c>
      <c r="E31" s="5"/>
      <c r="F31" s="8">
        <v>36239.426999999996</v>
      </c>
      <c r="G31" s="1">
        <f t="shared" si="0"/>
        <v>38051.398349999996</v>
      </c>
      <c r="H31" s="5"/>
      <c r="I31" s="5"/>
      <c r="J31" s="5"/>
      <c r="K31" s="5"/>
      <c r="N31" s="5"/>
      <c r="R31" s="6"/>
      <c r="T31" s="5"/>
      <c r="U31" s="5"/>
    </row>
    <row r="32" spans="1:21" x14ac:dyDescent="0.25">
      <c r="A32" s="3" t="s">
        <v>101</v>
      </c>
      <c r="B32" s="4" t="s">
        <v>139</v>
      </c>
      <c r="C32" s="10">
        <v>35888.699999999997</v>
      </c>
      <c r="D32" s="9" t="s">
        <v>107</v>
      </c>
      <c r="E32" s="5"/>
      <c r="F32" s="8">
        <v>37683.135000000002</v>
      </c>
      <c r="G32" s="1">
        <f t="shared" si="0"/>
        <v>39567.291750000004</v>
      </c>
      <c r="H32" s="5"/>
      <c r="I32" s="5"/>
      <c r="J32" s="5"/>
      <c r="K32" s="5"/>
      <c r="N32" s="5"/>
      <c r="T32" s="5"/>
      <c r="U32" s="5"/>
    </row>
    <row r="33" spans="1:22" x14ac:dyDescent="0.25">
      <c r="A33" s="3" t="s">
        <v>27</v>
      </c>
      <c r="B33" s="4" t="s">
        <v>140</v>
      </c>
      <c r="C33" s="10">
        <v>35325.660000000003</v>
      </c>
      <c r="D33" s="9" t="s">
        <v>107</v>
      </c>
      <c r="E33" s="5"/>
      <c r="F33" s="8">
        <v>37091.943000000007</v>
      </c>
      <c r="G33" s="1">
        <f t="shared" si="0"/>
        <v>38946.540150000008</v>
      </c>
      <c r="H33" s="5"/>
      <c r="I33" s="5"/>
      <c r="J33" s="5"/>
      <c r="K33" s="5"/>
      <c r="N33" s="5"/>
      <c r="T33" s="5"/>
      <c r="U33" s="5"/>
    </row>
    <row r="34" spans="1:22" x14ac:dyDescent="0.25">
      <c r="A34" s="3" t="s">
        <v>28</v>
      </c>
      <c r="B34" s="4" t="s">
        <v>141</v>
      </c>
      <c r="C34" s="10">
        <v>34669.800000000003</v>
      </c>
      <c r="D34" s="9" t="s">
        <v>107</v>
      </c>
      <c r="E34" s="5"/>
      <c r="F34" s="8">
        <v>36403.290000000008</v>
      </c>
      <c r="G34" s="1">
        <f t="shared" si="0"/>
        <v>38223.454500000007</v>
      </c>
      <c r="H34" s="5"/>
      <c r="I34" s="5"/>
      <c r="J34" s="5"/>
      <c r="K34" s="5"/>
      <c r="N34" s="5"/>
      <c r="T34" s="5"/>
      <c r="U34" s="5"/>
    </row>
    <row r="35" spans="1:22" x14ac:dyDescent="0.25">
      <c r="A35" s="3" t="s">
        <v>29</v>
      </c>
      <c r="B35" s="4" t="s">
        <v>142</v>
      </c>
      <c r="C35" s="10">
        <v>32290.14</v>
      </c>
      <c r="D35" s="9" t="s">
        <v>107</v>
      </c>
      <c r="E35" s="5"/>
      <c r="F35" s="8">
        <v>33904.646999999997</v>
      </c>
      <c r="G35" s="1">
        <f t="shared" si="0"/>
        <v>35599.879349999996</v>
      </c>
      <c r="H35" s="5"/>
      <c r="I35" s="5"/>
      <c r="J35" s="5"/>
      <c r="K35" s="5"/>
      <c r="N35" s="5"/>
      <c r="T35" s="5"/>
      <c r="U35" s="5"/>
    </row>
    <row r="36" spans="1:22" x14ac:dyDescent="0.25">
      <c r="A36" s="3" t="s">
        <v>30</v>
      </c>
      <c r="B36" s="4" t="s">
        <v>143</v>
      </c>
      <c r="C36" s="10">
        <v>33258.120000000003</v>
      </c>
      <c r="D36" s="9" t="s">
        <v>107</v>
      </c>
      <c r="E36" s="5"/>
      <c r="F36" s="8">
        <v>34921.026000000005</v>
      </c>
      <c r="G36" s="1">
        <f t="shared" si="0"/>
        <v>36667.077300000004</v>
      </c>
      <c r="H36" s="5"/>
      <c r="I36" s="5"/>
      <c r="J36" s="5"/>
      <c r="K36" s="5"/>
      <c r="N36" s="5"/>
      <c r="T36" s="5"/>
      <c r="U36" s="5"/>
    </row>
    <row r="37" spans="1:22" x14ac:dyDescent="0.25">
      <c r="A37" s="3" t="s">
        <v>31</v>
      </c>
      <c r="B37" s="4" t="s">
        <v>144</v>
      </c>
      <c r="C37" s="10">
        <v>33581.46</v>
      </c>
      <c r="D37" s="9" t="s">
        <v>107</v>
      </c>
      <c r="E37" s="5"/>
      <c r="F37" s="8">
        <v>35260.533000000003</v>
      </c>
      <c r="G37" s="1">
        <f t="shared" si="0"/>
        <v>37023.559650000003</v>
      </c>
      <c r="H37" s="5"/>
      <c r="I37" s="5"/>
      <c r="J37" s="5"/>
      <c r="K37" s="5"/>
      <c r="N37" s="5"/>
      <c r="T37" s="5"/>
      <c r="U37" s="5"/>
    </row>
    <row r="38" spans="1:22" x14ac:dyDescent="0.25">
      <c r="A38" s="3" t="s">
        <v>106</v>
      </c>
      <c r="B38" s="4" t="s">
        <v>145</v>
      </c>
      <c r="C38" s="10">
        <v>37012.74</v>
      </c>
      <c r="D38" s="9" t="s">
        <v>107</v>
      </c>
      <c r="E38" s="5"/>
      <c r="F38" s="8">
        <v>38863.377</v>
      </c>
      <c r="G38" s="1">
        <f t="shared" si="0"/>
        <v>40806.545850000002</v>
      </c>
      <c r="H38" s="5"/>
      <c r="I38" s="5"/>
      <c r="J38" s="5"/>
      <c r="K38" s="5"/>
      <c r="N38" s="5"/>
      <c r="T38" s="5"/>
      <c r="U38" s="5"/>
    </row>
    <row r="39" spans="1:22" x14ac:dyDescent="0.25">
      <c r="A39" s="3" t="s">
        <v>32</v>
      </c>
      <c r="B39" s="4" t="s">
        <v>146</v>
      </c>
      <c r="C39" s="10">
        <v>34919.699999999997</v>
      </c>
      <c r="D39" s="9" t="s">
        <v>107</v>
      </c>
      <c r="E39" s="5"/>
      <c r="F39" s="8">
        <v>36665.684999999998</v>
      </c>
      <c r="G39" s="1">
        <f t="shared" si="0"/>
        <v>38498.969250000002</v>
      </c>
      <c r="H39" s="5"/>
      <c r="I39" s="5"/>
      <c r="J39" s="5"/>
      <c r="K39" s="5"/>
      <c r="N39" s="5"/>
      <c r="T39" s="5"/>
      <c r="U39" s="5"/>
    </row>
    <row r="40" spans="1:22" x14ac:dyDescent="0.25">
      <c r="A40" s="3" t="s">
        <v>33</v>
      </c>
      <c r="B40" s="4" t="s">
        <v>147</v>
      </c>
      <c r="C40" s="10">
        <v>25990.62</v>
      </c>
      <c r="D40" s="9" t="s">
        <v>107</v>
      </c>
      <c r="E40" s="5"/>
      <c r="F40" s="8">
        <v>27290.151000000002</v>
      </c>
      <c r="G40" s="1">
        <f t="shared" si="0"/>
        <v>28654.658550000004</v>
      </c>
      <c r="H40" s="5"/>
      <c r="I40" s="5"/>
      <c r="J40" s="5"/>
      <c r="K40" s="5"/>
      <c r="N40" s="5"/>
      <c r="T40" s="5"/>
      <c r="U40" s="5"/>
    </row>
    <row r="41" spans="1:22" x14ac:dyDescent="0.25">
      <c r="A41" s="3" t="s">
        <v>34</v>
      </c>
      <c r="B41" s="4" t="s">
        <v>148</v>
      </c>
      <c r="C41" s="10">
        <v>29117.94</v>
      </c>
      <c r="D41" s="9" t="s">
        <v>107</v>
      </c>
      <c r="E41" s="5"/>
      <c r="F41" s="8">
        <v>30573.837</v>
      </c>
      <c r="G41" s="1">
        <f t="shared" si="0"/>
        <v>32102.528850000002</v>
      </c>
      <c r="H41" s="5"/>
      <c r="I41" s="5"/>
      <c r="J41" s="5"/>
      <c r="K41" s="5"/>
      <c r="N41" s="5"/>
      <c r="T41" s="5"/>
      <c r="U41" s="5"/>
    </row>
    <row r="42" spans="1:22" x14ac:dyDescent="0.25">
      <c r="A42" s="3" t="s">
        <v>35</v>
      </c>
      <c r="B42" s="4" t="s">
        <v>149</v>
      </c>
      <c r="C42" s="10">
        <v>29401.5</v>
      </c>
      <c r="D42" s="9" t="s">
        <v>107</v>
      </c>
      <c r="E42" s="5"/>
      <c r="F42" s="8">
        <v>30871.575000000001</v>
      </c>
      <c r="G42" s="1">
        <f t="shared" si="0"/>
        <v>32415.153750000001</v>
      </c>
      <c r="H42" s="5"/>
      <c r="I42" s="5"/>
      <c r="J42" s="5"/>
      <c r="K42" s="5"/>
      <c r="N42" s="5"/>
      <c r="T42" s="5"/>
      <c r="U42" s="5"/>
    </row>
    <row r="43" spans="1:22" x14ac:dyDescent="0.25">
      <c r="A43" s="3" t="s">
        <v>36</v>
      </c>
      <c r="B43" s="4" t="s">
        <v>150</v>
      </c>
      <c r="C43" s="10">
        <v>34427.040000000001</v>
      </c>
      <c r="D43" s="9" t="s">
        <v>107</v>
      </c>
      <c r="E43" s="5"/>
      <c r="F43" s="8">
        <v>36148.392</v>
      </c>
      <c r="G43" s="1">
        <f t="shared" si="0"/>
        <v>37955.811600000001</v>
      </c>
      <c r="H43" s="5"/>
      <c r="I43" s="5"/>
      <c r="J43" s="5"/>
      <c r="K43" s="5"/>
      <c r="N43" s="5"/>
      <c r="T43" s="5"/>
      <c r="U43" s="5"/>
    </row>
    <row r="44" spans="1:22" x14ac:dyDescent="0.25">
      <c r="A44" s="3" t="s">
        <v>37</v>
      </c>
      <c r="B44" s="4" t="s">
        <v>151</v>
      </c>
      <c r="C44" s="10">
        <v>35938.68</v>
      </c>
      <c r="D44" s="9" t="s">
        <v>107</v>
      </c>
      <c r="E44" s="5"/>
      <c r="F44" s="8">
        <v>37735.614000000001</v>
      </c>
      <c r="G44" s="1">
        <f t="shared" si="0"/>
        <v>39622.394700000004</v>
      </c>
      <c r="H44" s="5"/>
      <c r="I44" s="5"/>
      <c r="J44" s="5"/>
      <c r="K44" s="5"/>
      <c r="N44" s="5"/>
      <c r="T44" s="5"/>
      <c r="U44" s="5"/>
    </row>
    <row r="45" spans="1:22" x14ac:dyDescent="0.25">
      <c r="A45" s="3" t="s">
        <v>38</v>
      </c>
      <c r="B45" s="4" t="s">
        <v>152</v>
      </c>
      <c r="C45" s="10">
        <v>29491.26</v>
      </c>
      <c r="D45" s="9" t="s">
        <v>107</v>
      </c>
      <c r="E45" s="5"/>
      <c r="F45" s="8">
        <v>30965.823</v>
      </c>
      <c r="G45" s="1">
        <f t="shared" si="0"/>
        <v>32514.114150000001</v>
      </c>
      <c r="H45" s="5"/>
      <c r="I45" s="5"/>
      <c r="J45" s="5"/>
      <c r="K45" s="5"/>
      <c r="L45" s="5"/>
      <c r="N45" s="5"/>
      <c r="T45" s="5"/>
      <c r="U45" s="5"/>
      <c r="V45" s="5"/>
    </row>
    <row r="46" spans="1:22" x14ac:dyDescent="0.25">
      <c r="A46" s="3" t="s">
        <v>39</v>
      </c>
      <c r="B46" s="4" t="s">
        <v>153</v>
      </c>
      <c r="C46" s="10">
        <v>30917.22</v>
      </c>
      <c r="D46" s="9" t="s">
        <v>107</v>
      </c>
      <c r="E46" s="5"/>
      <c r="F46" s="8">
        <v>32463.081000000002</v>
      </c>
      <c r="G46" s="1">
        <f t="shared" si="0"/>
        <v>34086.235050000003</v>
      </c>
      <c r="H46" s="5"/>
      <c r="I46" s="5"/>
      <c r="J46" s="5"/>
      <c r="K46" s="5"/>
      <c r="L46" s="5"/>
      <c r="N46" s="5"/>
      <c r="T46" s="5"/>
      <c r="U46" s="5"/>
      <c r="V46" s="5"/>
    </row>
    <row r="47" spans="1:22" x14ac:dyDescent="0.25">
      <c r="A47" s="3" t="s">
        <v>40</v>
      </c>
      <c r="B47" s="4" t="s">
        <v>154</v>
      </c>
      <c r="C47" s="10">
        <v>20541.78</v>
      </c>
      <c r="D47" s="9" t="s">
        <v>107</v>
      </c>
      <c r="E47" s="5"/>
      <c r="F47" s="8">
        <v>21568.868999999999</v>
      </c>
      <c r="G47" s="1">
        <f t="shared" si="0"/>
        <v>22647.312450000001</v>
      </c>
      <c r="H47" s="5"/>
      <c r="I47" s="5"/>
      <c r="J47" s="5"/>
      <c r="K47" s="5"/>
      <c r="L47" s="5"/>
      <c r="N47" s="5"/>
      <c r="T47" s="5"/>
      <c r="U47" s="5"/>
      <c r="V47" s="5"/>
    </row>
    <row r="48" spans="1:22" s="14" customFormat="1" x14ac:dyDescent="0.25">
      <c r="A48" s="11" t="s">
        <v>41</v>
      </c>
      <c r="B48" s="4" t="s">
        <v>155</v>
      </c>
      <c r="C48" s="12">
        <v>19618.68</v>
      </c>
      <c r="D48" s="9" t="s">
        <v>107</v>
      </c>
      <c r="E48" s="13"/>
      <c r="F48" s="8">
        <v>20599.614000000001</v>
      </c>
      <c r="G48" s="1">
        <f t="shared" si="0"/>
        <v>21629.594700000001</v>
      </c>
      <c r="H48" s="13"/>
      <c r="I48" s="13"/>
      <c r="J48" s="13"/>
      <c r="K48" s="13"/>
      <c r="L48" s="13"/>
      <c r="N48" s="13"/>
      <c r="T48" s="13"/>
      <c r="U48" s="13"/>
      <c r="V48" s="13"/>
    </row>
    <row r="49" spans="1:23" x14ac:dyDescent="0.25">
      <c r="A49" s="3" t="s">
        <v>42</v>
      </c>
      <c r="B49" s="4" t="s">
        <v>156</v>
      </c>
      <c r="C49" s="10">
        <v>21430.2</v>
      </c>
      <c r="D49" s="9" t="s">
        <v>107</v>
      </c>
      <c r="E49" s="5"/>
      <c r="F49" s="8">
        <v>22501.710000000003</v>
      </c>
      <c r="G49" s="1">
        <f t="shared" si="0"/>
        <v>23626.795500000004</v>
      </c>
      <c r="H49" s="5"/>
      <c r="I49" s="5"/>
      <c r="J49" s="5"/>
      <c r="K49" s="5"/>
      <c r="L49" s="5"/>
      <c r="N49" s="5"/>
      <c r="T49" s="5"/>
      <c r="U49" s="5"/>
      <c r="V49" s="5"/>
    </row>
    <row r="50" spans="1:23" x14ac:dyDescent="0.25">
      <c r="A50" s="3" t="s">
        <v>43</v>
      </c>
      <c r="B50" s="4" t="s">
        <v>157</v>
      </c>
      <c r="C50" s="10">
        <v>22665.42</v>
      </c>
      <c r="D50" s="9" t="s">
        <v>107</v>
      </c>
      <c r="E50" s="5"/>
      <c r="F50" s="8">
        <v>23798.690999999999</v>
      </c>
      <c r="G50" s="1">
        <f t="shared" si="0"/>
        <v>24988.625550000001</v>
      </c>
      <c r="H50" s="5"/>
      <c r="I50" s="5"/>
      <c r="J50" s="5"/>
      <c r="K50" s="5"/>
      <c r="L50" s="5"/>
      <c r="N50" s="5"/>
      <c r="T50" s="5"/>
      <c r="U50" s="5"/>
      <c r="V50" s="5"/>
    </row>
    <row r="51" spans="1:23" x14ac:dyDescent="0.25">
      <c r="A51" s="3" t="s">
        <v>44</v>
      </c>
      <c r="B51" s="4" t="s">
        <v>158</v>
      </c>
      <c r="C51" s="10">
        <v>21783.119999999999</v>
      </c>
      <c r="D51" s="9" t="s">
        <v>107</v>
      </c>
      <c r="E51" s="5"/>
      <c r="F51" s="8">
        <v>22872.276000000002</v>
      </c>
      <c r="G51" s="1">
        <f t="shared" si="0"/>
        <v>24015.889800000004</v>
      </c>
      <c r="H51" s="5"/>
      <c r="I51" s="5"/>
      <c r="J51" s="5"/>
      <c r="K51" s="5"/>
      <c r="L51" s="5"/>
      <c r="N51" s="5"/>
      <c r="T51" s="5"/>
      <c r="U51" s="5"/>
      <c r="V51" s="5"/>
    </row>
    <row r="52" spans="1:23" x14ac:dyDescent="0.25">
      <c r="A52" s="3" t="s">
        <v>45</v>
      </c>
      <c r="B52" s="4" t="s">
        <v>159</v>
      </c>
      <c r="C52" s="10">
        <v>23856.78</v>
      </c>
      <c r="D52" s="9" t="s">
        <v>107</v>
      </c>
      <c r="E52" s="5"/>
      <c r="F52" s="8">
        <v>25049.618999999999</v>
      </c>
      <c r="G52" s="1">
        <f t="shared" si="0"/>
        <v>26302.09995</v>
      </c>
      <c r="H52" s="5"/>
      <c r="I52" s="5"/>
      <c r="J52" s="5"/>
      <c r="K52" s="5"/>
      <c r="L52" s="5"/>
      <c r="N52" s="5"/>
      <c r="T52" s="5"/>
      <c r="U52" s="5"/>
      <c r="V52" s="5"/>
    </row>
    <row r="53" spans="1:23" s="19" customFormat="1" x14ac:dyDescent="0.25">
      <c r="A53" s="15" t="s">
        <v>46</v>
      </c>
      <c r="B53" s="16" t="s">
        <v>160</v>
      </c>
      <c r="C53" s="17">
        <v>25168.5</v>
      </c>
      <c r="D53" s="9" t="s">
        <v>107</v>
      </c>
      <c r="E53" s="18"/>
      <c r="F53" s="8">
        <v>26426.925000000003</v>
      </c>
      <c r="G53" s="1">
        <f t="shared" si="0"/>
        <v>27748.271250000005</v>
      </c>
      <c r="H53" s="18"/>
      <c r="I53" s="18"/>
      <c r="J53" s="18"/>
      <c r="K53" s="18"/>
      <c r="L53" s="18"/>
      <c r="N53" s="18"/>
      <c r="T53" s="18"/>
      <c r="U53" s="18"/>
      <c r="V53" s="18"/>
    </row>
    <row r="54" spans="1:23" x14ac:dyDescent="0.25">
      <c r="A54" s="3" t="s">
        <v>47</v>
      </c>
      <c r="B54" s="4" t="s">
        <v>161</v>
      </c>
      <c r="C54" s="10">
        <v>25416.36</v>
      </c>
      <c r="D54" s="9" t="s">
        <v>107</v>
      </c>
      <c r="E54" s="5"/>
      <c r="F54" s="8">
        <v>26687.178000000004</v>
      </c>
      <c r="G54" s="1">
        <f t="shared" si="0"/>
        <v>28021.536900000006</v>
      </c>
      <c r="H54" s="5"/>
      <c r="I54" s="5"/>
      <c r="J54" s="5"/>
      <c r="K54" s="5"/>
      <c r="L54" s="5"/>
      <c r="N54" s="5"/>
      <c r="T54" s="5"/>
      <c r="U54" s="5"/>
      <c r="V54" s="5"/>
    </row>
    <row r="55" spans="1:23" x14ac:dyDescent="0.25">
      <c r="A55" s="3" t="s">
        <v>48</v>
      </c>
      <c r="B55" s="4" t="s">
        <v>162</v>
      </c>
      <c r="C55" s="10">
        <v>26662.799999999999</v>
      </c>
      <c r="D55" s="9" t="s">
        <v>107</v>
      </c>
      <c r="E55" s="5"/>
      <c r="F55" s="8">
        <v>27995.94</v>
      </c>
      <c r="G55" s="1">
        <f t="shared" si="0"/>
        <v>29395.737000000001</v>
      </c>
      <c r="H55" s="5"/>
      <c r="I55" s="5"/>
      <c r="J55" s="5"/>
      <c r="K55" s="5"/>
      <c r="L55" s="5"/>
      <c r="N55" s="5"/>
      <c r="T55" s="5"/>
      <c r="U55" s="5"/>
      <c r="V55" s="5"/>
    </row>
    <row r="56" spans="1:23" x14ac:dyDescent="0.25">
      <c r="A56" s="3" t="s">
        <v>49</v>
      </c>
      <c r="B56" s="4" t="s">
        <v>163</v>
      </c>
      <c r="C56" s="10">
        <v>9736.92</v>
      </c>
      <c r="D56" s="9" t="s">
        <v>107</v>
      </c>
      <c r="E56" s="5"/>
      <c r="F56" s="16">
        <v>10710.612000000001</v>
      </c>
      <c r="G56" s="1">
        <f t="shared" si="0"/>
        <v>11246.142600000001</v>
      </c>
      <c r="H56" s="5"/>
      <c r="I56" s="5"/>
      <c r="J56" s="5"/>
      <c r="K56" s="5"/>
      <c r="L56" s="5"/>
      <c r="N56" s="5"/>
      <c r="T56" s="5"/>
      <c r="U56" s="5"/>
      <c r="V56" s="5"/>
    </row>
    <row r="57" spans="1:23" x14ac:dyDescent="0.25">
      <c r="A57" s="3" t="s">
        <v>50</v>
      </c>
      <c r="B57" s="4" t="s">
        <v>164</v>
      </c>
      <c r="C57" s="10">
        <v>11060.88</v>
      </c>
      <c r="D57" s="9" t="s">
        <v>107</v>
      </c>
      <c r="E57" s="5"/>
      <c r="F57" s="16">
        <v>12166.968000000001</v>
      </c>
      <c r="G57" s="1">
        <f t="shared" si="0"/>
        <v>12775.316400000002</v>
      </c>
      <c r="H57" s="5"/>
      <c r="I57" s="5"/>
      <c r="J57" s="5"/>
      <c r="K57" s="5"/>
      <c r="L57" s="5"/>
      <c r="N57" s="5"/>
      <c r="T57" s="5"/>
      <c r="U57" s="5"/>
      <c r="V57" s="5"/>
    </row>
    <row r="58" spans="1:23" x14ac:dyDescent="0.25">
      <c r="A58" s="3" t="s">
        <v>51</v>
      </c>
      <c r="B58" s="4" t="s">
        <v>165</v>
      </c>
      <c r="C58" s="10">
        <v>14238.18</v>
      </c>
      <c r="D58" s="9" t="s">
        <v>107</v>
      </c>
      <c r="E58" s="5"/>
      <c r="F58" s="16">
        <v>15661.998000000001</v>
      </c>
      <c r="G58" s="1">
        <f t="shared" si="0"/>
        <v>16445.097900000001</v>
      </c>
      <c r="H58" s="5"/>
      <c r="I58" s="5"/>
      <c r="J58" s="5"/>
      <c r="K58" s="5"/>
      <c r="L58" s="5"/>
      <c r="N58" s="5"/>
      <c r="T58" s="5"/>
      <c r="U58" s="5"/>
      <c r="V58" s="5"/>
    </row>
    <row r="59" spans="1:23" x14ac:dyDescent="0.25">
      <c r="A59" s="3" t="s">
        <v>52</v>
      </c>
      <c r="B59" s="4" t="s">
        <v>166</v>
      </c>
      <c r="C59" s="10">
        <v>11021.1</v>
      </c>
      <c r="D59" s="9" t="s">
        <v>107</v>
      </c>
      <c r="E59" s="5"/>
      <c r="F59" s="16">
        <v>12123.210000000001</v>
      </c>
      <c r="G59" s="1">
        <f t="shared" si="0"/>
        <v>12729.370500000001</v>
      </c>
      <c r="H59" s="5"/>
      <c r="I59" s="5"/>
      <c r="J59" s="5"/>
      <c r="K59" s="5"/>
      <c r="L59" s="5"/>
      <c r="N59" s="5"/>
      <c r="T59" s="5"/>
      <c r="U59" s="5"/>
      <c r="V59" s="5"/>
    </row>
    <row r="60" spans="1:23" x14ac:dyDescent="0.25">
      <c r="A60" s="3" t="s">
        <v>53</v>
      </c>
      <c r="B60" s="4" t="s">
        <v>167</v>
      </c>
      <c r="C60" s="10">
        <v>11366.88</v>
      </c>
      <c r="D60" s="9" t="s">
        <v>107</v>
      </c>
      <c r="E60" s="5"/>
      <c r="F60" s="16">
        <v>12503.567999999999</v>
      </c>
      <c r="G60" s="1">
        <f t="shared" si="0"/>
        <v>13128.7464</v>
      </c>
      <c r="H60" s="5"/>
      <c r="I60" s="5"/>
      <c r="J60" s="5"/>
      <c r="K60" s="5"/>
      <c r="L60" s="5"/>
      <c r="N60" s="5"/>
      <c r="T60" s="5"/>
      <c r="U60" s="5"/>
      <c r="V60" s="5"/>
    </row>
    <row r="61" spans="1:23" x14ac:dyDescent="0.25">
      <c r="A61" s="3" t="s">
        <v>104</v>
      </c>
      <c r="B61" s="4" t="s">
        <v>168</v>
      </c>
      <c r="C61" s="10">
        <v>11299.56</v>
      </c>
      <c r="D61" s="9" t="s">
        <v>107</v>
      </c>
      <c r="E61" s="5"/>
      <c r="F61" s="16">
        <v>12429.516</v>
      </c>
      <c r="G61" s="1">
        <f t="shared" si="0"/>
        <v>13050.9918</v>
      </c>
      <c r="H61" s="5"/>
      <c r="I61" s="5"/>
      <c r="J61" s="5"/>
      <c r="K61" s="5"/>
      <c r="L61" s="5"/>
      <c r="N61" s="5"/>
      <c r="T61" s="5"/>
      <c r="U61" s="5"/>
      <c r="V61" s="5"/>
      <c r="W61" s="5"/>
    </row>
    <row r="62" spans="1:23" x14ac:dyDescent="0.25">
      <c r="A62" s="3" t="s">
        <v>105</v>
      </c>
      <c r="B62" s="4" t="s">
        <v>169</v>
      </c>
      <c r="C62" s="10">
        <v>11822.82</v>
      </c>
      <c r="D62" s="9" t="s">
        <v>107</v>
      </c>
      <c r="E62" s="5"/>
      <c r="F62" s="16">
        <v>13005.102000000001</v>
      </c>
      <c r="G62" s="1">
        <f t="shared" si="0"/>
        <v>13655.357100000001</v>
      </c>
      <c r="H62" s="5"/>
      <c r="I62" s="5"/>
      <c r="J62" s="5"/>
      <c r="K62" s="5"/>
      <c r="L62" s="5"/>
      <c r="N62" s="5"/>
      <c r="T62" s="5"/>
      <c r="U62" s="5"/>
      <c r="V62" s="5"/>
      <c r="W62" s="5"/>
    </row>
    <row r="63" spans="1:23" x14ac:dyDescent="0.25">
      <c r="A63" s="3" t="s">
        <v>54</v>
      </c>
      <c r="B63" s="4" t="s">
        <v>170</v>
      </c>
      <c r="C63" s="10">
        <v>11575.98</v>
      </c>
      <c r="D63" s="9" t="s">
        <v>107</v>
      </c>
      <c r="E63" s="5"/>
      <c r="F63" s="16">
        <v>12733.578000000001</v>
      </c>
      <c r="G63" s="1">
        <f t="shared" si="0"/>
        <v>13370.256900000002</v>
      </c>
      <c r="H63" s="5"/>
      <c r="I63" s="5"/>
      <c r="J63" s="5"/>
      <c r="K63" s="5"/>
      <c r="L63" s="5"/>
      <c r="N63" s="5"/>
    </row>
    <row r="64" spans="1:23" x14ac:dyDescent="0.25">
      <c r="A64" s="3" t="s">
        <v>55</v>
      </c>
      <c r="B64" s="4" t="s">
        <v>171</v>
      </c>
      <c r="C64" s="10">
        <v>12487.86</v>
      </c>
      <c r="D64" s="9" t="s">
        <v>107</v>
      </c>
      <c r="E64" s="5"/>
      <c r="F64" s="16">
        <v>13736.646000000002</v>
      </c>
      <c r="G64" s="1">
        <f t="shared" si="0"/>
        <v>14423.478300000002</v>
      </c>
      <c r="H64" s="5"/>
      <c r="I64" s="5"/>
      <c r="J64" s="5"/>
      <c r="K64" s="5"/>
      <c r="L64" s="5"/>
      <c r="N64" s="5"/>
    </row>
    <row r="65" spans="1:14" x14ac:dyDescent="0.25">
      <c r="A65" s="7" t="s">
        <v>56</v>
      </c>
      <c r="B65" s="4" t="s">
        <v>172</v>
      </c>
      <c r="C65" s="10">
        <v>14805.3</v>
      </c>
      <c r="D65" s="9" t="s">
        <v>107</v>
      </c>
      <c r="E65" s="5"/>
      <c r="F65" s="16">
        <v>16285.83</v>
      </c>
      <c r="G65" s="1">
        <f t="shared" si="0"/>
        <v>17100.121500000001</v>
      </c>
      <c r="H65" s="5"/>
      <c r="I65" s="5"/>
      <c r="J65" s="5"/>
      <c r="K65" s="5"/>
      <c r="L65" s="5"/>
      <c r="N65" s="5"/>
    </row>
    <row r="66" spans="1:14" x14ac:dyDescent="0.25">
      <c r="A66" s="7" t="s">
        <v>57</v>
      </c>
      <c r="B66" s="4" t="s">
        <v>173</v>
      </c>
      <c r="C66" s="10">
        <v>13640.46</v>
      </c>
      <c r="D66" s="9" t="s">
        <v>107</v>
      </c>
      <c r="E66" s="5"/>
      <c r="F66" s="16">
        <v>15004.505999999999</v>
      </c>
      <c r="G66" s="1">
        <f t="shared" ref="G66:G107" si="1">F66*1.05</f>
        <v>15754.731299999999</v>
      </c>
      <c r="H66" s="5"/>
      <c r="I66" s="5"/>
      <c r="J66" s="5"/>
      <c r="K66" s="5"/>
      <c r="L66" s="5"/>
      <c r="N66" s="5"/>
    </row>
    <row r="67" spans="1:14" x14ac:dyDescent="0.25">
      <c r="A67" s="7" t="s">
        <v>58</v>
      </c>
      <c r="B67" s="4" t="s">
        <v>174</v>
      </c>
      <c r="C67" s="10">
        <v>13374.24</v>
      </c>
      <c r="D67" s="9" t="s">
        <v>107</v>
      </c>
      <c r="E67" s="5"/>
      <c r="F67" s="16">
        <v>14711.664000000001</v>
      </c>
      <c r="G67" s="1">
        <f t="shared" si="1"/>
        <v>15447.247200000002</v>
      </c>
      <c r="H67" s="5"/>
      <c r="I67" s="5"/>
      <c r="J67" s="5"/>
      <c r="K67" s="5"/>
      <c r="L67" s="5"/>
      <c r="N67" s="5"/>
    </row>
    <row r="68" spans="1:14" x14ac:dyDescent="0.25">
      <c r="A68" s="7" t="s">
        <v>59</v>
      </c>
      <c r="B68" s="4" t="s">
        <v>175</v>
      </c>
      <c r="C68" s="10">
        <v>14466.66</v>
      </c>
      <c r="D68" s="9" t="s">
        <v>107</v>
      </c>
      <c r="E68" s="5"/>
      <c r="F68" s="16">
        <v>15913.326000000001</v>
      </c>
      <c r="G68" s="1">
        <f t="shared" si="1"/>
        <v>16708.992300000002</v>
      </c>
      <c r="H68" s="5"/>
      <c r="I68" s="5"/>
      <c r="J68" s="5"/>
      <c r="K68" s="5"/>
      <c r="L68" s="5"/>
      <c r="N68" s="5"/>
    </row>
    <row r="69" spans="1:14" x14ac:dyDescent="0.25">
      <c r="A69" s="7" t="s">
        <v>60</v>
      </c>
      <c r="B69" s="4" t="s">
        <v>176</v>
      </c>
      <c r="C69" s="10">
        <v>13997.46</v>
      </c>
      <c r="D69" s="9" t="s">
        <v>107</v>
      </c>
      <c r="E69" s="5"/>
      <c r="F69" s="16">
        <v>15397.206</v>
      </c>
      <c r="G69" s="1">
        <f t="shared" si="1"/>
        <v>16167.0663</v>
      </c>
      <c r="H69" s="5"/>
      <c r="I69" s="5"/>
      <c r="J69" s="5"/>
      <c r="K69" s="5"/>
      <c r="L69" s="5"/>
      <c r="N69" s="5"/>
    </row>
    <row r="70" spans="1:14" x14ac:dyDescent="0.25">
      <c r="A70" s="7" t="s">
        <v>61</v>
      </c>
      <c r="B70" s="4" t="s">
        <v>177</v>
      </c>
      <c r="C70" s="10">
        <v>13443.6</v>
      </c>
      <c r="D70" s="9" t="s">
        <v>107</v>
      </c>
      <c r="E70" s="5"/>
      <c r="F70" s="16">
        <v>14787.960000000001</v>
      </c>
      <c r="G70" s="1">
        <f t="shared" si="1"/>
        <v>15527.358000000002</v>
      </c>
      <c r="H70" s="5"/>
      <c r="I70" s="5"/>
      <c r="J70" s="5"/>
      <c r="K70" s="5"/>
      <c r="L70" s="5"/>
      <c r="M70" s="5"/>
      <c r="N70" s="5"/>
    </row>
    <row r="71" spans="1:14" x14ac:dyDescent="0.25">
      <c r="A71" s="7" t="s">
        <v>62</v>
      </c>
      <c r="B71" s="4" t="s">
        <v>178</v>
      </c>
      <c r="C71" s="10">
        <v>12727.56</v>
      </c>
      <c r="D71" s="9" t="s">
        <v>107</v>
      </c>
      <c r="E71" s="5"/>
      <c r="F71" s="16">
        <v>14000.316000000001</v>
      </c>
      <c r="G71" s="1">
        <f t="shared" si="1"/>
        <v>14700.331800000002</v>
      </c>
      <c r="H71" s="5"/>
      <c r="I71" s="5"/>
      <c r="J71" s="5"/>
      <c r="K71" s="5"/>
      <c r="L71" s="5"/>
      <c r="N71" s="5"/>
    </row>
    <row r="72" spans="1:14" x14ac:dyDescent="0.25">
      <c r="A72" s="7" t="s">
        <v>63</v>
      </c>
      <c r="B72" s="4" t="s">
        <v>179</v>
      </c>
      <c r="C72" s="10">
        <v>17719.439999999999</v>
      </c>
      <c r="D72" s="9" t="s">
        <v>107</v>
      </c>
      <c r="E72" s="5"/>
      <c r="F72" s="16">
        <v>19491.384000000002</v>
      </c>
      <c r="G72" s="1">
        <f t="shared" si="1"/>
        <v>20465.953200000004</v>
      </c>
      <c r="H72" s="5"/>
      <c r="I72" s="5"/>
      <c r="J72" s="5"/>
      <c r="K72" s="5"/>
      <c r="L72" s="5"/>
      <c r="M72" s="5"/>
      <c r="N72" s="5"/>
    </row>
    <row r="73" spans="1:14" x14ac:dyDescent="0.25">
      <c r="A73" s="7" t="s">
        <v>64</v>
      </c>
      <c r="B73" s="4" t="s">
        <v>180</v>
      </c>
      <c r="C73" s="10">
        <v>18555.84</v>
      </c>
      <c r="D73" s="9" t="s">
        <v>107</v>
      </c>
      <c r="E73" s="5"/>
      <c r="F73" s="16">
        <v>20411.424000000003</v>
      </c>
      <c r="G73" s="1">
        <f t="shared" si="1"/>
        <v>21431.995200000005</v>
      </c>
      <c r="H73" s="5"/>
      <c r="I73" s="5"/>
      <c r="J73" s="5"/>
      <c r="K73" s="5"/>
      <c r="L73" s="5"/>
      <c r="M73" s="5"/>
      <c r="N73" s="5"/>
    </row>
    <row r="74" spans="1:14" x14ac:dyDescent="0.25">
      <c r="A74" s="7" t="s">
        <v>65</v>
      </c>
      <c r="B74" s="4" t="s">
        <v>181</v>
      </c>
      <c r="C74" s="10">
        <v>17719.439999999999</v>
      </c>
      <c r="D74" s="9" t="s">
        <v>107</v>
      </c>
      <c r="E74" s="5"/>
      <c r="F74" s="16">
        <v>19491.384000000002</v>
      </c>
      <c r="G74" s="1">
        <f t="shared" si="1"/>
        <v>20465.953200000004</v>
      </c>
      <c r="H74" s="5"/>
      <c r="I74" s="5"/>
      <c r="J74" s="5"/>
      <c r="K74" s="5"/>
      <c r="L74" s="5"/>
      <c r="N74" s="5"/>
    </row>
    <row r="75" spans="1:14" x14ac:dyDescent="0.25">
      <c r="A75" s="7" t="s">
        <v>66</v>
      </c>
      <c r="B75" s="4" t="s">
        <v>182</v>
      </c>
      <c r="C75" s="10">
        <v>18555.84</v>
      </c>
      <c r="D75" s="9" t="s">
        <v>107</v>
      </c>
      <c r="E75" s="5"/>
      <c r="F75" s="16">
        <v>20411.424000000003</v>
      </c>
      <c r="G75" s="1">
        <f t="shared" si="1"/>
        <v>21431.995200000005</v>
      </c>
      <c r="H75" s="5"/>
      <c r="I75" s="5"/>
      <c r="J75" s="5"/>
      <c r="K75" s="5"/>
      <c r="L75" s="5"/>
      <c r="N75" s="5"/>
    </row>
    <row r="76" spans="1:14" x14ac:dyDescent="0.25">
      <c r="A76" s="7" t="s">
        <v>67</v>
      </c>
      <c r="B76" s="4" t="s">
        <v>183</v>
      </c>
      <c r="C76" s="10">
        <v>17571.54</v>
      </c>
      <c r="D76" s="9" t="s">
        <v>107</v>
      </c>
      <c r="E76" s="5"/>
      <c r="F76" s="16">
        <v>19328.694000000003</v>
      </c>
      <c r="G76" s="1">
        <f t="shared" si="1"/>
        <v>20295.128700000005</v>
      </c>
      <c r="H76" s="5"/>
      <c r="I76" s="5"/>
      <c r="J76" s="5"/>
      <c r="K76" s="5"/>
      <c r="L76" s="5"/>
      <c r="N76" s="5"/>
    </row>
    <row r="77" spans="1:14" x14ac:dyDescent="0.25">
      <c r="A77" s="7" t="s">
        <v>68</v>
      </c>
      <c r="B77" s="4" t="s">
        <v>184</v>
      </c>
      <c r="C77" s="10">
        <v>17777.580000000002</v>
      </c>
      <c r="D77" s="9" t="s">
        <v>107</v>
      </c>
      <c r="E77" s="5"/>
      <c r="F77" s="16">
        <v>19555.338000000003</v>
      </c>
      <c r="G77" s="1">
        <f t="shared" si="1"/>
        <v>20533.104900000006</v>
      </c>
      <c r="H77" s="5"/>
      <c r="I77" s="5"/>
      <c r="J77" s="5"/>
      <c r="K77" s="5"/>
      <c r="L77" s="5"/>
      <c r="N77" s="5"/>
    </row>
    <row r="78" spans="1:14" x14ac:dyDescent="0.25">
      <c r="A78" s="7" t="s">
        <v>69</v>
      </c>
      <c r="B78" s="4" t="s">
        <v>185</v>
      </c>
      <c r="C78" s="10">
        <v>20027.7</v>
      </c>
      <c r="D78" s="9" t="s">
        <v>107</v>
      </c>
      <c r="E78" s="5"/>
      <c r="F78" s="16">
        <v>22030.47</v>
      </c>
      <c r="G78" s="1">
        <f t="shared" si="1"/>
        <v>23131.9935</v>
      </c>
      <c r="H78" s="5"/>
      <c r="I78" s="5"/>
      <c r="J78" s="5"/>
      <c r="K78" s="5"/>
      <c r="L78" s="5"/>
      <c r="N78" s="5"/>
    </row>
    <row r="79" spans="1:14" x14ac:dyDescent="0.25">
      <c r="A79" s="7" t="s">
        <v>70</v>
      </c>
      <c r="B79" s="4" t="s">
        <v>186</v>
      </c>
      <c r="C79" s="10">
        <v>20840.64</v>
      </c>
      <c r="D79" s="9" t="s">
        <v>107</v>
      </c>
      <c r="E79" s="5"/>
      <c r="F79" s="16">
        <v>22924.704000000002</v>
      </c>
      <c r="G79" s="1">
        <f t="shared" si="1"/>
        <v>24070.939200000004</v>
      </c>
      <c r="H79" s="5"/>
      <c r="I79" s="5"/>
      <c r="J79" s="5"/>
      <c r="K79" s="5"/>
      <c r="L79" s="5"/>
      <c r="N79" s="5"/>
    </row>
    <row r="80" spans="1:14" x14ac:dyDescent="0.25">
      <c r="A80" s="7" t="s">
        <v>71</v>
      </c>
      <c r="B80" s="4" t="s">
        <v>187</v>
      </c>
      <c r="C80" s="10">
        <v>29976.78</v>
      </c>
      <c r="D80" s="9" t="s">
        <v>107</v>
      </c>
      <c r="E80" s="5"/>
      <c r="F80" s="16">
        <v>32974.457999999999</v>
      </c>
      <c r="G80" s="1">
        <f t="shared" si="1"/>
        <v>34623.180899999999</v>
      </c>
      <c r="H80" s="5"/>
      <c r="I80" s="5"/>
      <c r="J80" s="5"/>
      <c r="K80" s="5"/>
      <c r="L80" s="5"/>
      <c r="N80" s="5"/>
    </row>
    <row r="81" spans="1:14" x14ac:dyDescent="0.25">
      <c r="A81" s="7" t="s">
        <v>99</v>
      </c>
      <c r="B81" s="4" t="s">
        <v>188</v>
      </c>
      <c r="C81" s="10">
        <v>31204.86</v>
      </c>
      <c r="D81" s="9" t="s">
        <v>107</v>
      </c>
      <c r="E81" s="5"/>
      <c r="F81" s="16">
        <v>34325.346000000005</v>
      </c>
      <c r="G81" s="1">
        <f t="shared" si="1"/>
        <v>36041.613300000005</v>
      </c>
      <c r="H81" s="5"/>
      <c r="I81" s="5"/>
      <c r="J81" s="5"/>
      <c r="K81" s="5"/>
      <c r="L81" s="5"/>
      <c r="N81" s="5"/>
    </row>
    <row r="82" spans="1:14" x14ac:dyDescent="0.25">
      <c r="A82" s="7" t="s">
        <v>72</v>
      </c>
      <c r="B82" s="4" t="s">
        <v>189</v>
      </c>
      <c r="C82" s="10">
        <v>31204.86</v>
      </c>
      <c r="D82" s="9" t="s">
        <v>107</v>
      </c>
      <c r="E82" s="5"/>
      <c r="F82" s="16">
        <v>34325.346000000005</v>
      </c>
      <c r="G82" s="1">
        <f t="shared" si="1"/>
        <v>36041.613300000005</v>
      </c>
      <c r="H82" s="5"/>
      <c r="I82" s="5"/>
      <c r="J82" s="5"/>
      <c r="K82" s="5"/>
      <c r="L82" s="5"/>
      <c r="N82" s="5"/>
    </row>
    <row r="83" spans="1:14" x14ac:dyDescent="0.25">
      <c r="A83" s="7" t="s">
        <v>73</v>
      </c>
      <c r="B83" s="4" t="s">
        <v>190</v>
      </c>
      <c r="C83" s="10">
        <v>22408.38</v>
      </c>
      <c r="D83" s="9" t="s">
        <v>107</v>
      </c>
      <c r="E83" s="5"/>
      <c r="F83" s="16">
        <v>24649.218000000004</v>
      </c>
      <c r="G83" s="1">
        <f t="shared" si="1"/>
        <v>25881.678900000006</v>
      </c>
      <c r="H83" s="5"/>
      <c r="I83" s="5"/>
      <c r="J83" s="5"/>
      <c r="K83" s="5"/>
      <c r="L83" s="5"/>
      <c r="N83" s="5"/>
    </row>
    <row r="84" spans="1:14" x14ac:dyDescent="0.25">
      <c r="A84" s="7" t="s">
        <v>74</v>
      </c>
      <c r="B84" s="4" t="s">
        <v>191</v>
      </c>
      <c r="C84" s="10">
        <v>23137.68</v>
      </c>
      <c r="D84" s="9" t="s">
        <v>107</v>
      </c>
      <c r="E84" s="5"/>
      <c r="F84" s="16">
        <v>25451.448000000004</v>
      </c>
      <c r="G84" s="1">
        <f t="shared" si="1"/>
        <v>26724.020400000005</v>
      </c>
      <c r="H84" s="5"/>
      <c r="I84" s="5"/>
      <c r="J84" s="5"/>
      <c r="K84" s="5"/>
      <c r="L84" s="5"/>
      <c r="N84" s="5"/>
    </row>
    <row r="85" spans="1:14" x14ac:dyDescent="0.25">
      <c r="A85" s="7" t="s">
        <v>75</v>
      </c>
      <c r="B85" s="4" t="s">
        <v>192</v>
      </c>
      <c r="C85" s="10">
        <v>27502.26</v>
      </c>
      <c r="D85" s="9" t="s">
        <v>107</v>
      </c>
      <c r="E85" s="5"/>
      <c r="F85" s="16">
        <v>30252.486000000001</v>
      </c>
      <c r="G85" s="1">
        <f t="shared" si="1"/>
        <v>31765.110300000004</v>
      </c>
      <c r="H85" s="5"/>
      <c r="I85" s="5"/>
      <c r="J85" s="5"/>
      <c r="K85" s="5"/>
      <c r="L85" s="5"/>
      <c r="N85" s="5"/>
    </row>
    <row r="86" spans="1:14" x14ac:dyDescent="0.25">
      <c r="A86" s="7" t="s">
        <v>76</v>
      </c>
      <c r="B86" s="4" t="s">
        <v>193</v>
      </c>
      <c r="C86" s="10">
        <v>23933.279999999999</v>
      </c>
      <c r="D86" s="9" t="s">
        <v>107</v>
      </c>
      <c r="E86" s="5"/>
      <c r="F86" s="16">
        <v>26326.608</v>
      </c>
      <c r="G86" s="1">
        <f t="shared" si="1"/>
        <v>27642.938400000003</v>
      </c>
      <c r="H86" s="5"/>
      <c r="I86" s="5"/>
      <c r="J86" s="5"/>
      <c r="K86" s="5"/>
      <c r="L86" s="5"/>
      <c r="N86" s="5"/>
    </row>
    <row r="87" spans="1:14" x14ac:dyDescent="0.25">
      <c r="A87" s="7" t="s">
        <v>77</v>
      </c>
      <c r="B87" s="4" t="s">
        <v>194</v>
      </c>
      <c r="C87" s="10">
        <v>22788.84</v>
      </c>
      <c r="D87" s="9" t="s">
        <v>107</v>
      </c>
      <c r="E87" s="5"/>
      <c r="F87" s="16">
        <v>25067.724000000002</v>
      </c>
      <c r="G87" s="1">
        <f t="shared" si="1"/>
        <v>26321.110200000003</v>
      </c>
      <c r="H87" s="5"/>
      <c r="I87" s="5"/>
      <c r="J87" s="5"/>
      <c r="K87" s="5"/>
      <c r="L87" s="5"/>
      <c r="N87" s="5"/>
    </row>
    <row r="88" spans="1:14" x14ac:dyDescent="0.25">
      <c r="A88" s="7" t="s">
        <v>78</v>
      </c>
      <c r="B88" s="4" t="s">
        <v>195</v>
      </c>
      <c r="C88" s="10">
        <v>25771.32</v>
      </c>
      <c r="D88" s="9" t="s">
        <v>107</v>
      </c>
      <c r="E88" s="5"/>
      <c r="F88" s="16">
        <v>28348.452000000001</v>
      </c>
      <c r="G88" s="1">
        <f t="shared" si="1"/>
        <v>29765.874600000003</v>
      </c>
      <c r="H88" s="5"/>
      <c r="I88" s="5"/>
      <c r="J88" s="5"/>
      <c r="K88" s="5"/>
      <c r="L88" s="5"/>
      <c r="N88" s="5"/>
    </row>
    <row r="89" spans="1:14" x14ac:dyDescent="0.25">
      <c r="A89" s="7" t="s">
        <v>79</v>
      </c>
      <c r="B89" s="4" t="s">
        <v>196</v>
      </c>
      <c r="C89" s="10">
        <v>24761.52</v>
      </c>
      <c r="D89" s="9" t="s">
        <v>107</v>
      </c>
      <c r="E89" s="5"/>
      <c r="F89" s="16">
        <v>27237.672000000002</v>
      </c>
      <c r="G89" s="1">
        <f t="shared" si="1"/>
        <v>28599.555600000003</v>
      </c>
      <c r="H89" s="5"/>
      <c r="I89" s="5"/>
      <c r="J89" s="5"/>
      <c r="K89" s="5"/>
      <c r="L89" s="5"/>
      <c r="M89" s="5"/>
      <c r="N89" s="5"/>
    </row>
    <row r="90" spans="1:14" x14ac:dyDescent="0.25">
      <c r="A90" s="7" t="s">
        <v>80</v>
      </c>
      <c r="B90" s="4" t="s">
        <v>197</v>
      </c>
      <c r="C90" s="10">
        <v>23604.84</v>
      </c>
      <c r="D90" s="9" t="s">
        <v>107</v>
      </c>
      <c r="E90" s="5"/>
      <c r="F90" s="16">
        <v>25965.324000000001</v>
      </c>
      <c r="G90" s="1">
        <f t="shared" si="1"/>
        <v>27263.590200000002</v>
      </c>
      <c r="H90" s="5"/>
      <c r="I90" s="5"/>
      <c r="J90" s="5"/>
      <c r="K90" s="5"/>
      <c r="L90" s="5"/>
      <c r="M90" s="5"/>
      <c r="N90" s="5"/>
    </row>
    <row r="91" spans="1:14" x14ac:dyDescent="0.25">
      <c r="A91" s="7" t="s">
        <v>81</v>
      </c>
      <c r="B91" s="4" t="s">
        <v>198</v>
      </c>
      <c r="C91" s="10">
        <v>22979.58</v>
      </c>
      <c r="D91" s="9" t="s">
        <v>107</v>
      </c>
      <c r="E91" s="5"/>
      <c r="F91" s="16">
        <v>25277.538000000004</v>
      </c>
      <c r="G91" s="1">
        <f t="shared" si="1"/>
        <v>26541.414900000007</v>
      </c>
      <c r="H91" s="5"/>
      <c r="I91" s="5"/>
      <c r="J91" s="5"/>
      <c r="K91" s="5"/>
      <c r="L91" s="5"/>
      <c r="M91" s="5"/>
      <c r="N91" s="5"/>
    </row>
    <row r="92" spans="1:14" x14ac:dyDescent="0.25">
      <c r="A92" s="7" t="s">
        <v>82</v>
      </c>
      <c r="B92" s="4" t="s">
        <v>199</v>
      </c>
      <c r="C92" s="10">
        <v>23898.6</v>
      </c>
      <c r="D92" s="9" t="s">
        <v>107</v>
      </c>
      <c r="E92" s="5"/>
      <c r="F92" s="16">
        <v>26288.46</v>
      </c>
      <c r="G92" s="1">
        <f t="shared" si="1"/>
        <v>27602.883000000002</v>
      </c>
      <c r="H92" s="5"/>
      <c r="I92" s="5"/>
      <c r="J92" s="5"/>
      <c r="K92" s="5"/>
      <c r="L92" s="5"/>
      <c r="M92" s="5"/>
      <c r="N92" s="5"/>
    </row>
    <row r="93" spans="1:14" x14ac:dyDescent="0.25">
      <c r="A93" s="7" t="s">
        <v>83</v>
      </c>
      <c r="B93" s="4" t="s">
        <v>200</v>
      </c>
      <c r="C93" s="10">
        <v>22517.52</v>
      </c>
      <c r="D93" s="9" t="s">
        <v>107</v>
      </c>
      <c r="E93" s="5"/>
      <c r="F93" s="16">
        <v>24769.272000000001</v>
      </c>
      <c r="G93" s="1">
        <f t="shared" si="1"/>
        <v>26007.735600000004</v>
      </c>
      <c r="H93" s="5"/>
      <c r="I93" s="5"/>
      <c r="J93" s="5"/>
      <c r="K93" s="5"/>
      <c r="L93" s="5"/>
      <c r="M93" s="5"/>
      <c r="N93" s="5"/>
    </row>
    <row r="94" spans="1:14" x14ac:dyDescent="0.25">
      <c r="A94" s="7" t="s">
        <v>84</v>
      </c>
      <c r="B94" s="4" t="s">
        <v>201</v>
      </c>
      <c r="C94" s="10">
        <v>31437.42</v>
      </c>
      <c r="D94" s="9" t="s">
        <v>107</v>
      </c>
      <c r="E94" s="5"/>
      <c r="F94" s="16">
        <v>34581.162000000004</v>
      </c>
      <c r="G94" s="1">
        <f t="shared" si="1"/>
        <v>36310.220100000006</v>
      </c>
      <c r="H94" s="5"/>
      <c r="I94" s="5"/>
      <c r="J94" s="5"/>
      <c r="K94" s="5"/>
      <c r="L94" s="5"/>
      <c r="M94" s="5"/>
      <c r="N94" s="5"/>
    </row>
    <row r="95" spans="1:14" x14ac:dyDescent="0.25">
      <c r="A95" s="7" t="s">
        <v>85</v>
      </c>
      <c r="B95" s="4" t="s">
        <v>202</v>
      </c>
      <c r="C95" s="10">
        <v>32128.98</v>
      </c>
      <c r="D95" s="9" t="s">
        <v>107</v>
      </c>
      <c r="E95" s="5"/>
      <c r="F95" s="16">
        <v>35341.878000000004</v>
      </c>
      <c r="G95" s="1">
        <f t="shared" si="1"/>
        <v>37108.971900000004</v>
      </c>
      <c r="H95" s="5"/>
      <c r="I95" s="5"/>
      <c r="J95" s="5"/>
      <c r="K95" s="5"/>
      <c r="L95" s="5"/>
      <c r="M95" s="5"/>
      <c r="N95" s="5"/>
    </row>
    <row r="96" spans="1:14" x14ac:dyDescent="0.25">
      <c r="A96" s="7" t="s">
        <v>86</v>
      </c>
      <c r="B96" s="4" t="s">
        <v>203</v>
      </c>
      <c r="C96" s="10">
        <v>54540.42</v>
      </c>
      <c r="D96" s="9" t="s">
        <v>107</v>
      </c>
      <c r="E96" s="5"/>
      <c r="F96" s="16">
        <v>59994.462</v>
      </c>
      <c r="G96" s="1">
        <f t="shared" si="1"/>
        <v>62994.185100000002</v>
      </c>
      <c r="H96" s="5"/>
      <c r="I96" s="5"/>
      <c r="J96" s="5"/>
      <c r="K96" s="5"/>
      <c r="L96" s="5"/>
      <c r="M96" s="5"/>
      <c r="N96" s="5"/>
    </row>
    <row r="97" spans="1:14" x14ac:dyDescent="0.25">
      <c r="A97" s="7" t="s">
        <v>87</v>
      </c>
      <c r="B97" s="4" t="s">
        <v>204</v>
      </c>
      <c r="C97" s="10">
        <v>49033.440000000002</v>
      </c>
      <c r="D97" s="9" t="s">
        <v>107</v>
      </c>
      <c r="E97" s="5"/>
      <c r="F97" s="16">
        <v>53936.784000000007</v>
      </c>
      <c r="G97" s="1">
        <f t="shared" si="1"/>
        <v>56633.623200000009</v>
      </c>
      <c r="H97" s="5"/>
      <c r="I97" s="5"/>
      <c r="J97" s="5"/>
      <c r="K97" s="5"/>
      <c r="L97" s="5"/>
      <c r="M97" s="5"/>
      <c r="N97" s="5"/>
    </row>
    <row r="98" spans="1:14" x14ac:dyDescent="0.25">
      <c r="A98" s="7" t="s">
        <v>88</v>
      </c>
      <c r="B98" s="4" t="s">
        <v>205</v>
      </c>
      <c r="C98" s="10">
        <v>50839.86</v>
      </c>
      <c r="D98" s="9" t="s">
        <v>107</v>
      </c>
      <c r="E98" s="5"/>
      <c r="F98" s="16">
        <v>55923.846000000005</v>
      </c>
      <c r="G98" s="1">
        <f t="shared" si="1"/>
        <v>58720.038300000007</v>
      </c>
      <c r="H98" s="5"/>
      <c r="I98" s="5"/>
      <c r="J98" s="5"/>
      <c r="K98" s="5"/>
      <c r="L98" s="5"/>
      <c r="M98" s="5"/>
      <c r="N98" s="5"/>
    </row>
    <row r="99" spans="1:14" x14ac:dyDescent="0.25">
      <c r="A99" s="7" t="s">
        <v>89</v>
      </c>
      <c r="B99" s="4" t="s">
        <v>206</v>
      </c>
      <c r="C99" s="10">
        <v>53044.08</v>
      </c>
      <c r="D99" s="9" t="s">
        <v>107</v>
      </c>
      <c r="E99" s="5"/>
      <c r="F99" s="16">
        <v>58348.488000000005</v>
      </c>
      <c r="G99" s="1">
        <f t="shared" si="1"/>
        <v>61265.912400000008</v>
      </c>
      <c r="H99" s="5"/>
      <c r="I99" s="5"/>
      <c r="J99" s="5"/>
      <c r="K99" s="5"/>
      <c r="L99" s="5"/>
      <c r="M99" s="5"/>
      <c r="N99" s="5"/>
    </row>
    <row r="100" spans="1:14" x14ac:dyDescent="0.25">
      <c r="A100" s="7" t="s">
        <v>90</v>
      </c>
      <c r="B100" s="4" t="s">
        <v>207</v>
      </c>
      <c r="C100" s="10">
        <v>53652</v>
      </c>
      <c r="D100" s="9" t="s">
        <v>107</v>
      </c>
      <c r="E100" s="5"/>
      <c r="F100" s="16">
        <v>59017.200000000004</v>
      </c>
      <c r="G100" s="1">
        <f t="shared" si="1"/>
        <v>61968.060000000005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7" t="s">
        <v>91</v>
      </c>
      <c r="B101" s="4" t="s">
        <v>208</v>
      </c>
      <c r="C101" s="10">
        <v>54839.28</v>
      </c>
      <c r="D101" s="9" t="s">
        <v>107</v>
      </c>
      <c r="E101" s="5"/>
      <c r="F101" s="16">
        <v>60323.208000000006</v>
      </c>
      <c r="G101" s="1">
        <f t="shared" si="1"/>
        <v>63339.368400000007</v>
      </c>
      <c r="H101" s="5"/>
      <c r="I101" s="5"/>
      <c r="J101" s="5"/>
      <c r="K101" s="5"/>
      <c r="L101" s="5"/>
      <c r="M101" s="5"/>
      <c r="N101" s="5"/>
    </row>
    <row r="102" spans="1:14" x14ac:dyDescent="0.25">
      <c r="A102" s="7" t="s">
        <v>92</v>
      </c>
      <c r="B102" s="4" t="s">
        <v>209</v>
      </c>
      <c r="C102" s="10">
        <v>28560</v>
      </c>
      <c r="D102" s="9" t="s">
        <v>107</v>
      </c>
      <c r="F102" s="16">
        <v>31416.000000000004</v>
      </c>
      <c r="G102" s="1">
        <f t="shared" si="1"/>
        <v>32986.800000000003</v>
      </c>
      <c r="H102" s="5"/>
      <c r="I102" s="5"/>
      <c r="J102" s="5"/>
      <c r="K102" s="5"/>
      <c r="L102" s="5"/>
      <c r="M102" s="5"/>
      <c r="N102" s="5"/>
    </row>
    <row r="103" spans="1:14" x14ac:dyDescent="0.25">
      <c r="A103" s="7" t="s">
        <v>93</v>
      </c>
      <c r="B103" s="4" t="s">
        <v>210</v>
      </c>
      <c r="C103" s="10">
        <v>35580.660000000003</v>
      </c>
      <c r="D103" s="9" t="s">
        <v>107</v>
      </c>
      <c r="F103" s="16">
        <v>39138.72600000001</v>
      </c>
      <c r="G103" s="1">
        <f t="shared" si="1"/>
        <v>41095.662300000011</v>
      </c>
    </row>
    <row r="104" spans="1:14" x14ac:dyDescent="0.25">
      <c r="A104" s="7" t="s">
        <v>94</v>
      </c>
      <c r="B104" s="4" t="s">
        <v>211</v>
      </c>
      <c r="C104" s="10">
        <v>39102.720000000001</v>
      </c>
      <c r="D104" s="9" t="s">
        <v>107</v>
      </c>
      <c r="F104" s="16">
        <v>43012.992000000006</v>
      </c>
      <c r="G104" s="1">
        <f t="shared" si="1"/>
        <v>45163.64160000001</v>
      </c>
    </row>
    <row r="105" spans="1:14" x14ac:dyDescent="0.25">
      <c r="A105" s="7" t="s">
        <v>95</v>
      </c>
      <c r="B105" s="4" t="s">
        <v>212</v>
      </c>
      <c r="C105" s="10">
        <v>33336.660000000003</v>
      </c>
      <c r="D105" s="9" t="s">
        <v>107</v>
      </c>
      <c r="F105" s="16">
        <v>36670.326000000008</v>
      </c>
      <c r="G105" s="1">
        <f t="shared" si="1"/>
        <v>38503.842300000011</v>
      </c>
    </row>
    <row r="106" spans="1:14" x14ac:dyDescent="0.25">
      <c r="A106" s="7" t="s">
        <v>96</v>
      </c>
      <c r="B106" s="4" t="s">
        <v>213</v>
      </c>
      <c r="C106" s="10">
        <v>35416.44</v>
      </c>
      <c r="D106" s="9" t="s">
        <v>107</v>
      </c>
      <c r="F106" s="16">
        <v>38958.084000000003</v>
      </c>
      <c r="G106" s="1">
        <f t="shared" si="1"/>
        <v>40905.988200000007</v>
      </c>
    </row>
    <row r="107" spans="1:14" x14ac:dyDescent="0.25">
      <c r="A107" s="7" t="s">
        <v>97</v>
      </c>
      <c r="B107" s="4" t="s">
        <v>214</v>
      </c>
      <c r="C107" s="10">
        <v>60477.84</v>
      </c>
      <c r="D107" s="9" t="s">
        <v>107</v>
      </c>
      <c r="F107" s="16">
        <v>66525.623999999996</v>
      </c>
      <c r="G107" s="1">
        <f t="shared" si="1"/>
        <v>69851.905199999994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2023-09-22T07:31:14Z</dcterms:modified>
</cp:coreProperties>
</file>